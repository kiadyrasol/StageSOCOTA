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pivotTables/pivotTable1.xml" ContentType="application/vnd.openxmlformats-officedocument.spreadsheetml.pivotTable+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Z:\02-DIG\02-07-Suivi DEV\"/>
    </mc:Choice>
  </mc:AlternateContent>
  <xr:revisionPtr revIDLastSave="0" documentId="13_ncr:1_{26E41188-A5BF-4CDF-B4E1-B04625A8C5E5}" xr6:coauthVersionLast="47" xr6:coauthVersionMax="47" xr10:uidLastSave="{00000000-0000-0000-0000-000000000000}"/>
  <bookViews>
    <workbookView xWindow="-108" yWindow="-108" windowWidth="23256" windowHeight="12456" activeTab="2" xr2:uid="{00000000-000D-0000-FFFF-FFFF00000000}"/>
  </bookViews>
  <sheets>
    <sheet name="RefData" sheetId="14" r:id="rId1"/>
    <sheet name="TDC" sheetId="13" r:id="rId2"/>
    <sheet name="Projets" sheetId="1" r:id="rId3"/>
    <sheet name="Tkt" sheetId="15" r:id="rId4"/>
  </sheets>
  <definedNames>
    <definedName name="_xlnm._FilterDatabase" localSheetId="2" hidden="1">Projets!$A$1:$S$247</definedName>
    <definedName name="_xlnm._FilterDatabase" localSheetId="3" hidden="1">Tkt!$A$1:$B$195</definedName>
    <definedName name="Dept">RefData!$D$1:$D$20</definedName>
    <definedName name="Impact_Sustain">RefData!#REF!</definedName>
    <definedName name="Owner_IT">RefData!$E$1:$E$20</definedName>
    <definedName name="Plateforme">RefData!$C$1:$C$10</definedName>
    <definedName name="Priorité">RefData!$F$1:$F$37</definedName>
    <definedName name="TabStatus">TStatus[Status]</definedName>
    <definedName name="Type_Projet">RefData!$B$1:$B$5</definedName>
    <definedName name="Unité">RefData!$A$1:$A$10</definedName>
  </definedNames>
  <calcPr calcId="191029"/>
  <pivotCaches>
    <pivotCache cacheId="5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9" i="1" l="1"/>
  <c r="Q128" i="1"/>
  <c r="Q127" i="1"/>
  <c r="Q125" i="1"/>
  <c r="Q126" i="1"/>
  <c r="Q124" i="1"/>
  <c r="Q123" i="1"/>
  <c r="Q122" i="1"/>
  <c r="Q121" i="1"/>
  <c r="Q120" i="1"/>
  <c r="Q119" i="1"/>
  <c r="Q118" i="1"/>
  <c r="Q117" i="1"/>
  <c r="Q247" i="1"/>
  <c r="Q246" i="1"/>
  <c r="Q245" i="1"/>
  <c r="Q244" i="1"/>
  <c r="Q115" i="1"/>
  <c r="Q113" i="1"/>
  <c r="Q170" i="1"/>
  <c r="Q242" i="1"/>
  <c r="Q241" i="1"/>
  <c r="Q116" i="1"/>
  <c r="Q114" i="1"/>
  <c r="Q240" i="1"/>
  <c r="Q239" i="1"/>
  <c r="Q238" i="1"/>
  <c r="Q237" i="1"/>
  <c r="Q236" i="1"/>
  <c r="Q112" i="1"/>
  <c r="Q111" i="1"/>
  <c r="Q110" i="1"/>
  <c r="Q105" i="1"/>
  <c r="Q107" i="1"/>
  <c r="Q108" i="1"/>
  <c r="Q109" i="1"/>
  <c r="Q169" i="1"/>
  <c r="Q104" i="1"/>
  <c r="Q106" i="1"/>
  <c r="Q103" i="1"/>
  <c r="Q102" i="1"/>
  <c r="Q101" i="1"/>
  <c r="Q100"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168" i="1"/>
  <c r="Q234" i="1"/>
  <c r="Q235" i="1"/>
  <c r="Q178" i="1"/>
  <c r="Q154" i="1"/>
  <c r="Q172" i="1"/>
  <c r="Q173" i="1"/>
  <c r="Q174" i="1"/>
  <c r="Q97" i="1"/>
  <c r="Q81" i="1"/>
  <c r="Q96" i="1"/>
  <c r="Q130" i="1"/>
  <c r="Q95" i="1"/>
  <c r="Q94" i="1"/>
  <c r="Q93" i="1"/>
  <c r="Q92" i="1"/>
  <c r="Q89" i="1"/>
  <c r="Q90" i="1"/>
  <c r="Q91" i="1"/>
  <c r="Q57" i="1"/>
  <c r="Q139" i="1" l="1"/>
  <c r="Q19" i="1"/>
  <c r="Q55" i="1"/>
  <c r="Q7" i="1"/>
  <c r="Q5" i="1"/>
  <c r="Q18" i="1"/>
  <c r="Q88" i="1"/>
  <c r="Q85" i="1"/>
  <c r="Q80" i="1"/>
  <c r="Q87" i="1"/>
  <c r="Q86" i="1"/>
  <c r="Q84" i="1"/>
  <c r="Q83" i="1"/>
  <c r="Q82" i="1"/>
  <c r="Q155" i="1"/>
  <c r="Q159" i="1"/>
  <c r="Q158" i="1"/>
  <c r="Q78" i="1"/>
  <c r="Q79" i="1"/>
  <c r="Q77" i="1"/>
  <c r="Q76" i="1"/>
  <c r="Q72" i="1"/>
  <c r="Q73" i="1"/>
  <c r="Q74" i="1"/>
  <c r="Q75" i="1"/>
  <c r="Q71" i="1"/>
  <c r="Q70" i="1"/>
  <c r="Q67" i="1"/>
  <c r="Q98" i="1"/>
  <c r="Q69" i="1"/>
  <c r="Q171" i="1"/>
  <c r="Q64" i="1"/>
  <c r="Q68" i="1"/>
  <c r="P227" i="1"/>
  <c r="P225" i="1"/>
  <c r="P224" i="1"/>
  <c r="P223" i="1"/>
  <c r="P222" i="1"/>
  <c r="P221" i="1"/>
  <c r="P220" i="1"/>
  <c r="P219" i="1"/>
  <c r="P218" i="1"/>
  <c r="P217" i="1"/>
  <c r="P215" i="1"/>
  <c r="P214" i="1"/>
  <c r="P213" i="1"/>
  <c r="P212" i="1"/>
  <c r="P211" i="1"/>
  <c r="P210" i="1"/>
  <c r="P209" i="1"/>
  <c r="P208" i="1"/>
  <c r="P207" i="1"/>
  <c r="P206" i="1"/>
  <c r="P205" i="1"/>
  <c r="P204" i="1"/>
  <c r="P203" i="1"/>
  <c r="P202" i="1"/>
  <c r="P200" i="1"/>
  <c r="P199" i="1"/>
  <c r="Q99" i="1"/>
  <c r="Q56" i="1"/>
  <c r="Q58" i="1"/>
  <c r="Q61" i="1"/>
  <c r="Q166" i="1"/>
  <c r="Q165" i="1"/>
  <c r="Q164" i="1"/>
  <c r="Q35" i="1"/>
  <c r="Q36" i="1"/>
  <c r="Q44" i="1"/>
  <c r="Q156" i="1"/>
  <c r="Q33" i="1"/>
  <c r="Q30" i="1"/>
  <c r="Q28" i="1"/>
  <c r="Q167" i="1" l="1"/>
  <c r="Q26" i="1"/>
  <c r="Q25" i="1"/>
  <c r="Q24" i="1"/>
  <c r="Q162" i="1"/>
  <c r="Q163" i="1"/>
  <c r="Q22" i="1"/>
  <c r="Q21" i="1"/>
  <c r="Q20" i="1"/>
  <c r="Q146" i="1"/>
  <c r="Q147" i="1"/>
  <c r="Q148" i="1"/>
  <c r="Q149" i="1"/>
  <c r="Q150" i="1"/>
  <c r="Q151" i="1"/>
  <c r="Q152" i="1"/>
  <c r="Q153" i="1"/>
  <c r="Q131" i="1"/>
  <c r="Q66" i="1"/>
  <c r="Q176" i="1" l="1"/>
  <c r="Q157" i="1"/>
  <c r="Q160" i="1"/>
  <c r="Q161" i="1"/>
  <c r="Q177" i="1"/>
  <c r="Q175" i="1"/>
  <c r="Q132" i="1"/>
  <c r="Q133" i="1"/>
  <c r="Q134" i="1"/>
  <c r="Q135" i="1"/>
  <c r="Q136" i="1"/>
  <c r="Q137" i="1"/>
  <c r="Q138" i="1"/>
  <c r="Q140" i="1"/>
  <c r="Q141" i="1"/>
  <c r="Q142" i="1"/>
  <c r="Q143" i="1"/>
  <c r="Q144" i="1"/>
  <c r="Q145" i="1"/>
  <c r="Q31" i="1"/>
  <c r="Q46" i="1"/>
  <c r="Q49" i="1"/>
  <c r="Q39" i="1"/>
  <c r="Q62" i="1"/>
  <c r="Q59" i="1"/>
  <c r="Q6" i="1"/>
  <c r="Q65" i="1"/>
  <c r="Q15" i="1"/>
  <c r="Q63" i="1"/>
  <c r="Q60" i="1"/>
  <c r="Q14" i="1"/>
  <c r="Q16" i="1"/>
  <c r="Q38" i="1"/>
  <c r="Q2" i="1"/>
  <c r="Q3" i="1"/>
  <c r="Q4" i="1"/>
  <c r="Q45" i="1"/>
  <c r="Q51" i="1"/>
  <c r="Q8" i="1"/>
  <c r="Q10" i="1"/>
  <c r="Q43" i="1"/>
  <c r="Q48" i="1"/>
  <c r="Q12" i="1"/>
  <c r="Q13" i="1"/>
  <c r="Q27" i="1"/>
  <c r="Q29" i="1"/>
  <c r="Q32" i="1"/>
  <c r="Q34" i="1"/>
  <c r="Q37" i="1"/>
  <c r="Q23" i="1"/>
  <c r="Q40" i="1"/>
  <c r="Q41" i="1"/>
  <c r="Q47" i="1"/>
  <c r="Q17" i="1"/>
  <c r="Q42" i="1"/>
  <c r="Q9" i="1"/>
  <c r="Q50" i="1"/>
  <c r="Q54" i="1"/>
</calcChain>
</file>

<file path=xl/sharedStrings.xml><?xml version="1.0" encoding="utf-8"?>
<sst xmlns="http://schemas.openxmlformats.org/spreadsheetml/2006/main" count="2861" uniqueCount="914">
  <si>
    <t>#</t>
  </si>
  <si>
    <t>prio</t>
  </si>
  <si>
    <t>Avancement</t>
  </si>
  <si>
    <t>Commentaire</t>
  </si>
  <si>
    <t>Sofab - TT</t>
  </si>
  <si>
    <t>Owner IT</t>
  </si>
  <si>
    <t>Jeanne</t>
  </si>
  <si>
    <t>Fetra</t>
  </si>
  <si>
    <t>Jackson</t>
  </si>
  <si>
    <t>Greg</t>
  </si>
  <si>
    <t xml:space="preserve">% </t>
  </si>
  <si>
    <t>Power user</t>
  </si>
  <si>
    <t>Dept</t>
  </si>
  <si>
    <t>CAL</t>
  </si>
  <si>
    <t>IND</t>
  </si>
  <si>
    <t>PRO</t>
  </si>
  <si>
    <t>SUST</t>
  </si>
  <si>
    <t>LOG</t>
  </si>
  <si>
    <t>Philibert</t>
  </si>
  <si>
    <t>Tsiky</t>
  </si>
  <si>
    <t>Digitalisation de la visite (priorité visite finie)</t>
  </si>
  <si>
    <t>Implémentation Orgatex a la teinturefil</t>
  </si>
  <si>
    <t>Pascal</t>
  </si>
  <si>
    <t>MPF</t>
  </si>
  <si>
    <t>Digitalisation fiche lancement commande</t>
  </si>
  <si>
    <t>Modélisation prédictive</t>
  </si>
  <si>
    <t>Marc</t>
  </si>
  <si>
    <t>Digitalisation de la gestion des camionages 
(rendu confectionneur Tana/Abe et grand export)</t>
  </si>
  <si>
    <t>Start 
Date</t>
  </si>
  <si>
    <t>Dani</t>
  </si>
  <si>
    <t>Envoi colisage et facture automatiquement (paperless) signature electronique</t>
  </si>
  <si>
    <t>IT</t>
  </si>
  <si>
    <t>Migration FSR vers MVC</t>
  </si>
  <si>
    <t>Migration Sofab MVC + Std de laize</t>
  </si>
  <si>
    <t>Angelo</t>
  </si>
  <si>
    <t>Shakil</t>
  </si>
  <si>
    <t>Pascal + team</t>
  </si>
  <si>
    <t>stand by</t>
  </si>
  <si>
    <t>New GPAO</t>
  </si>
  <si>
    <t>Digitalisation tableau planning tissage dans PBI</t>
  </si>
  <si>
    <t>Ony</t>
  </si>
  <si>
    <t xml:space="preserve">dev et test OK
finalisation regle de gestion en cours et ergonomie
lancer AO et décider oui/non si on va de l'avant
</t>
  </si>
  <si>
    <r>
      <t>Digitalisation étude de faisabilité (</t>
    </r>
    <r>
      <rPr>
        <i/>
        <sz val="11"/>
        <color theme="1"/>
        <rFont val="Frutiger LT 45 Light"/>
        <family val="2"/>
      </rPr>
      <t>commentaire live</t>
    </r>
    <r>
      <rPr>
        <sz val="11"/>
        <color theme="1"/>
        <rFont val="Frutiger LT 45 Light"/>
        <family val="2"/>
      </rPr>
      <t>)</t>
    </r>
  </si>
  <si>
    <t>Phil</t>
  </si>
  <si>
    <t>Migration PLC vers MVC</t>
  </si>
  <si>
    <t>Sales</t>
  </si>
  <si>
    <t>Tiana</t>
  </si>
  <si>
    <t xml:space="preserve">Pascal : Donner synoptique GPAO (visio) 
Greg : Organisation appel d'offre ( en cours)
  Datatex :  premiere session demo faite. Evalution budget reçue.
  Solin : a organiser
  troisieme editeur : ?        </t>
  </si>
  <si>
    <t>Salohy</t>
  </si>
  <si>
    <t>Upload FSR en masse depuis fichier Excel dans l'appli</t>
  </si>
  <si>
    <t>Integration fichier commande AQL dans GPAO</t>
  </si>
  <si>
    <t>Envoi donnés Gpao vers AQL</t>
  </si>
  <si>
    <t>Lovin</t>
  </si>
  <si>
    <t>Étiquettes de lignes</t>
  </si>
  <si>
    <t>Total général</t>
  </si>
  <si>
    <t>reprendre l'application aaprès remarque de Shakil, correction à faire</t>
  </si>
  <si>
    <r>
      <t xml:space="preserve">- Affichage automatique des LCs par rapport à la date ordo en fonction de la longueur, vitesse et rendement par metier
- Drop and drag des bandelettes
- Alerte si LC est en retard
- Indication du status de chaque LC (planifié, sized, dyed, weaving)
</t>
    </r>
    <r>
      <rPr>
        <b/>
        <sz val="11"/>
        <color rgb="FFFF0000"/>
        <rFont val="Frutiger LT 45 Light"/>
        <family val="2"/>
      </rPr>
      <t>S/BY PO Shakil</t>
    </r>
  </si>
  <si>
    <t>Verrouillage lot de fils au Planning</t>
  </si>
  <si>
    <t>Solde sampling par le commercial</t>
  </si>
  <si>
    <t>Dilshad</t>
  </si>
  <si>
    <t>Nouveau choix AR à intégrer dans tous les écrans et extraction GPAO</t>
  </si>
  <si>
    <t>Manufacturing Order (MO)</t>
  </si>
  <si>
    <t>LP</t>
  </si>
  <si>
    <t>LC/MO consultation</t>
  </si>
  <si>
    <t>LC/MO sampling</t>
  </si>
  <si>
    <t>Liaison CRP-GPAO</t>
  </si>
  <si>
    <r>
      <t xml:space="preserve">- Création matrice d'import des FSR
- Rajout fonctionnalité dans FSR pour Tanà seulement
- Application des règles avant upload dans la BDD
- Formation utilisateur
(voir pour creation a partir de template) </t>
    </r>
    <r>
      <rPr>
        <b/>
        <sz val="11"/>
        <color rgb="FFFF0000"/>
        <rFont val="Frutiger LT 45 Light"/>
        <family val="2"/>
      </rPr>
      <t>S/BY PO Greg</t>
    </r>
  </si>
  <si>
    <r>
      <t xml:space="preserve">voir pbi cfl existant </t>
    </r>
    <r>
      <rPr>
        <b/>
        <sz val="11"/>
        <color rgb="FFFF0000"/>
        <rFont val="Frutiger LT 45 Light"/>
        <family val="2"/>
      </rPr>
      <t>S/BY PO Shakil</t>
    </r>
  </si>
  <si>
    <r>
      <t xml:space="preserve">Attente filtre avant de test en prod </t>
    </r>
    <r>
      <rPr>
        <b/>
        <sz val="11"/>
        <color rgb="FFFF0000"/>
        <rFont val="Frutiger LT 45 Light"/>
        <family val="2"/>
      </rPr>
      <t>S/BY PO Shakil</t>
    </r>
  </si>
  <si>
    <r>
      <t xml:space="preserve">sur ex-machine CFL : ok
sur machine cotona : attente livraison matériel + venue Technicien </t>
    </r>
    <r>
      <rPr>
        <b/>
        <sz val="11"/>
        <color rgb="FFFF0000"/>
        <rFont val="Frutiger LT 45 Light"/>
        <family val="2"/>
      </rPr>
      <t>S/BY PO Greg</t>
    </r>
  </si>
  <si>
    <r>
      <t xml:space="preserve">Attente des règles de gestion de la part de l'équipe qualité pour les modifications
Application en cours d'utilisation
*Toujours en attentes de l'équipe qualité pour l'amelioration
*Creation build pour test de la version améliorer
*Bloquer au niveau de Tsiky, il n'a pas encore donnée les règles de gestion de sa part
*lancement v2 après test iT
</t>
    </r>
    <r>
      <rPr>
        <b/>
        <sz val="11"/>
        <color rgb="FFFF0000"/>
        <rFont val="Frutiger LT 45 Light"/>
        <family val="2"/>
      </rPr>
      <t>S/BY PO PW</t>
    </r>
  </si>
  <si>
    <t>Shakil
LP</t>
  </si>
  <si>
    <t>Traceability: LC/MO bulk sur GPAO</t>
  </si>
  <si>
    <t>Deadline</t>
  </si>
  <si>
    <t>TBC</t>
  </si>
  <si>
    <t>Message à activer si tissu dispo en stock (choix A / AB / AR). La réservaton du stock qu'aura fait le merch déclenchera la déduction du métrage en stock du métrage commandé</t>
  </si>
  <si>
    <t>- A mettre Dilshad comme destinataire pour les annulations / passage en résa A : à faire apparaitre dans l'email si liste verte ou non.
- Ecran de validation pour Dilshad sur plateforme</t>
  </si>
  <si>
    <t>S/BY</t>
  </si>
  <si>
    <t>Unité</t>
  </si>
  <si>
    <t>CTN</t>
  </si>
  <si>
    <t>Ticket #</t>
  </si>
  <si>
    <t>Plateforme</t>
  </si>
  <si>
    <t>Status</t>
  </si>
  <si>
    <t>%</t>
  </si>
  <si>
    <t>Narindra</t>
  </si>
  <si>
    <t>SUS</t>
  </si>
  <si>
    <t>CRP</t>
  </si>
  <si>
    <t>GPAO</t>
  </si>
  <si>
    <t>WEB</t>
  </si>
  <si>
    <t>Type Projet</t>
  </si>
  <si>
    <t>In house</t>
  </si>
  <si>
    <t>Out sourced</t>
  </si>
  <si>
    <t>Prospection</t>
  </si>
  <si>
    <t>Achat</t>
  </si>
  <si>
    <t>Installation</t>
  </si>
  <si>
    <t>Configuration</t>
  </si>
  <si>
    <t>Data upload</t>
  </si>
  <si>
    <t xml:space="preserve">Sécurisation </t>
  </si>
  <si>
    <t>Formation</t>
  </si>
  <si>
    <t>Type de Projet</t>
  </si>
  <si>
    <t>CF127a</t>
  </si>
  <si>
    <t>CF127b</t>
  </si>
  <si>
    <t>CF127c</t>
  </si>
  <si>
    <t>CF127d</t>
  </si>
  <si>
    <t>CF006</t>
  </si>
  <si>
    <t>CF023</t>
  </si>
  <si>
    <t>CF055</t>
  </si>
  <si>
    <t>CF157</t>
  </si>
  <si>
    <t>CF172</t>
  </si>
  <si>
    <t>CF094</t>
  </si>
  <si>
    <t>CF095</t>
  </si>
  <si>
    <t>CF101</t>
  </si>
  <si>
    <t>CF106</t>
  </si>
  <si>
    <t>CF107</t>
  </si>
  <si>
    <t>CF123</t>
  </si>
  <si>
    <t>CF126</t>
  </si>
  <si>
    <t>CF175</t>
  </si>
  <si>
    <t>CF133</t>
  </si>
  <si>
    <t>CF079</t>
  </si>
  <si>
    <t>CF140</t>
  </si>
  <si>
    <t>CF141</t>
  </si>
  <si>
    <t>CF142</t>
  </si>
  <si>
    <t>CF143</t>
  </si>
  <si>
    <t>CF155</t>
  </si>
  <si>
    <t>CF060</t>
  </si>
  <si>
    <t>CF162</t>
  </si>
  <si>
    <t>CF167</t>
  </si>
  <si>
    <t>CF168</t>
  </si>
  <si>
    <t>CF169</t>
  </si>
  <si>
    <t>CF170</t>
  </si>
  <si>
    <t>CF171</t>
  </si>
  <si>
    <t>CF136</t>
  </si>
  <si>
    <t>CF173</t>
  </si>
  <si>
    <t>CF174</t>
  </si>
  <si>
    <t>CF176</t>
  </si>
  <si>
    <t>CF177</t>
  </si>
  <si>
    <t>CF178</t>
  </si>
  <si>
    <t>Circuit de validation des actions (CRUD) sur Booking RESA A</t>
  </si>
  <si>
    <t>Gestion leakage: verrou à la facturation</t>
  </si>
  <si>
    <t>(Tous)</t>
  </si>
  <si>
    <t>Prio</t>
  </si>
  <si>
    <t>Envoi packing list /facture automatique : synchronisation des données à faire instantanément.
Attente feedabck Hoby cal</t>
  </si>
  <si>
    <t>SEAM</t>
  </si>
  <si>
    <t>FR-EVOLVE</t>
  </si>
  <si>
    <t>Go live</t>
  </si>
  <si>
    <t>Evolve MRP / Mc / CP Event interfacing</t>
  </si>
  <si>
    <t>Digitalize availability of info for Transaction certificates</t>
  </si>
  <si>
    <t>Cutting WIP details management</t>
  </si>
  <si>
    <t>KPIs for customer satisfaction</t>
  </si>
  <si>
    <t>FGWH procedure change</t>
  </si>
  <si>
    <t>Digitalization of Inbound Courrier/Sample reception</t>
  </si>
  <si>
    <t>Digitalization of Outbound Courier</t>
  </si>
  <si>
    <t>Gestion de provision dans Payroll</t>
  </si>
  <si>
    <t>Goods location management in Stores</t>
  </si>
  <si>
    <t>ST 2D barcode</t>
  </si>
  <si>
    <t>SMPL</t>
  </si>
  <si>
    <t>MER</t>
  </si>
  <si>
    <t>WS</t>
  </si>
  <si>
    <t>SL</t>
  </si>
  <si>
    <t>ENG</t>
  </si>
  <si>
    <t>FIN</t>
  </si>
  <si>
    <t>FGWH</t>
  </si>
  <si>
    <t>PLN</t>
  </si>
  <si>
    <t>CUT</t>
  </si>
  <si>
    <t>STO</t>
  </si>
  <si>
    <t>HRA</t>
  </si>
  <si>
    <t>Antoine</t>
  </si>
  <si>
    <t>Tovo</t>
  </si>
  <si>
    <t>Nanté</t>
  </si>
  <si>
    <t>Hoby</t>
  </si>
  <si>
    <t>Vonjy</t>
  </si>
  <si>
    <t>Mina</t>
  </si>
  <si>
    <t>Lanto</t>
  </si>
  <si>
    <t>Hasina</t>
  </si>
  <si>
    <t>Helly</t>
  </si>
  <si>
    <t>Dieudonné</t>
  </si>
  <si>
    <t>1a</t>
  </si>
  <si>
    <t>MC: in live in CRP, next step is to import the info into FRP - Target date: 7th March
MRP and CP event: this project was put aside recently and we will restart working on it starting next week.</t>
  </si>
  <si>
    <t>RFC done. Priority to be defined. To be done after Digitalization of Inbound courrier</t>
  </si>
  <si>
    <t>Revised RFC under preparation after meeting with IT</t>
  </si>
  <si>
    <t>SGL</t>
  </si>
  <si>
    <t>Debugging</t>
  </si>
  <si>
    <t>Testing</t>
  </si>
  <si>
    <t>Packing TrimCard project</t>
  </si>
  <si>
    <t>RFC approved</t>
  </si>
  <si>
    <t>DEV started</t>
  </si>
  <si>
    <t>Web</t>
  </si>
  <si>
    <t>Waiting RFC</t>
  </si>
  <si>
    <t>CRE</t>
  </si>
  <si>
    <t>Affectation stocks aux commandes</t>
  </si>
  <si>
    <t>ORACLE</t>
  </si>
  <si>
    <t>PBI Wet stage</t>
  </si>
  <si>
    <t>PBI</t>
  </si>
  <si>
    <t>Digitalisation tableau planning - Front End</t>
  </si>
  <si>
    <t>Digitalisation tableau planning - Mise à Dispo Data</t>
  </si>
  <si>
    <t>CF180</t>
  </si>
  <si>
    <t>_Tenir en compte le circuit de validation des utilisateurs
_(possible ajout d'un fiche de validation scanner dans le plateform)
_Modifier le format du mail et son contenu</t>
  </si>
  <si>
    <t>Status_M1</t>
  </si>
  <si>
    <t>CF181</t>
  </si>
  <si>
    <t>Sahondra</t>
  </si>
  <si>
    <t>Integration data biomass sur exce MPF dans DB achats + BI</t>
  </si>
  <si>
    <t>Validation  TIAF version 2</t>
  </si>
  <si>
    <t>- Supplier Profile (100%)
- OCS|GOTS expiration control daily + send mail (100%)
- PO's master=&gt; details (100%)
- Add login after test (100%)</t>
  </si>
  <si>
    <t>CF182</t>
  </si>
  <si>
    <t>Scanner Barcode MPF</t>
  </si>
  <si>
    <t>Digitalisation stock IT</t>
  </si>
  <si>
    <t>Après vente</t>
  </si>
  <si>
    <t>Rehad</t>
  </si>
  <si>
    <t>_Format mail en attente de template de Onintsalama
_Voir la possibilité de digitaliser le fiche de validation en papier
_mis au point des affichage 
_EN attente retour de test et vérrou sur GPAO
_Mis au point des reglement à adopter</t>
  </si>
  <si>
    <t>Finishing daily dashboard</t>
  </si>
  <si>
    <t>FINISHING</t>
  </si>
  <si>
    <t>CF183</t>
  </si>
  <si>
    <t>Fiche de test LABO report &amp; pdf</t>
  </si>
  <si>
    <t>ind</t>
  </si>
  <si>
    <t>LC/MO par lot fournisseur:
. Allocation fils par lot fournisseur (100%)
. Mise à jour des stocks fils existant par rapport au lot fournisseur (100%)
. Mise à jour des écrans LC/MO par lot fournisseur (100%(
. Destockage fil par lot fournisseur (100%)</t>
  </si>
  <si>
    <t>Voir les besoins de chaque département (NEW DESIGN v1.1)
- Synchronisation données GPAO vers SALES (100%)
- MCPAT
- Yarn
- Yarn dyeing
- Weaving
- Finishing
- Sales
  * Envoi facture/PL mutliples (Gouper Facture, Colisage, BT =&gt; 1 pdf par facture) (100%)
   * Corps mail à rajouter : client, retailer, article, style (100%)
   * Objet mail à rajouter : retailer, article (100%)
- Store
   * Design (100%)
   * Grouper par PO (100%)</t>
  </si>
  <si>
    <r>
      <t>1-</t>
    </r>
    <r>
      <rPr>
        <b/>
        <sz val="11"/>
        <color theme="1"/>
        <rFont val="Frutiger LT 45 Light"/>
        <family val="2"/>
      </rPr>
      <t xml:space="preserve"> </t>
    </r>
    <r>
      <rPr>
        <b/>
        <u/>
        <sz val="11"/>
        <color theme="1"/>
        <rFont val="Frutiger LT 45 Light"/>
        <family val="2"/>
      </rPr>
      <t xml:space="preserve">COTONA FABRICS: </t>
    </r>
    <r>
      <rPr>
        <sz val="11"/>
        <color theme="1"/>
        <rFont val="Frutiger LT 45 Light"/>
        <family val="2"/>
      </rPr>
      <t xml:space="preserve">
masse balance BCI (100%)
TC organique (100%)
. Liaison CRP =&gt; GPAO avec verrou et affichage automatique des données de SGL (100%)
. Affichage BO SGL dans colisage, facturation, Livraison (100%)
. Affichage des données Supplier (100%)
. Download infos &amp; Docs pdf
. Download data Suppliers (100%)
. TC result (100%)
. Filtre par: All/waiting BCI/waiting OCS GOTS/waiting TC receipt (100%)
. Enregistrement PO CLient CF dans le serveur avec verrou cal (100%)
. Fiche des resultats test LABO en report &amp; pdf dans le serveur avec verrou au Labo (100%)
. Download auto des proofs of payments dans le plateforme (100%)
. Download auto de la fiche à minima dans le plateforme (100%)
2- </t>
    </r>
    <r>
      <rPr>
        <b/>
        <u/>
        <sz val="11"/>
        <color theme="1"/>
        <rFont val="Frutiger LT 45 Light"/>
        <family val="2"/>
      </rPr>
      <t>SOCOTA GARMENTS:</t>
    </r>
    <r>
      <rPr>
        <sz val="11"/>
        <color theme="1"/>
        <rFont val="Frutiger LT 45 Light"/>
        <family val="2"/>
      </rPr>
      <t xml:space="preserve">
BCI (100%)
TC (100%)
. Download infos &amp; Docs pdf (100%)</t>
    </r>
  </si>
  <si>
    <t>- Création de report (100%)
- Génération automatique du fichier pdf dans le serveur (100%)</t>
  </si>
  <si>
    <t>Traceability MCPAT sur GPAO</t>
  </si>
  <si>
    <t>CF127e</t>
  </si>
  <si>
    <t>Traceability - Supplier platform</t>
  </si>
  <si>
    <t>Traceability: TC/BCP pour CF et SGL</t>
  </si>
  <si>
    <t>Traceability PO CF dans GPAO</t>
  </si>
  <si>
    <t>- Etat des lieux  OK
-  RFC  TC validée par   Sanjeev
- Ajout Champ de liaison CRP dans la ligne de commande GPAO
- Import auto des BO_LIST de CRP dans GPAO pour restreindre la saisie (contre marque - dept - saision, Besoin Certificat)</t>
  </si>
  <si>
    <t>Traçabilité demande de validation
validation.socota.com  ver 1</t>
  </si>
  <si>
    <t>BI (Laza) - en cours</t>
  </si>
  <si>
    <t>Suivi Reclammations aux fournisseurs</t>
  </si>
  <si>
    <t>- RFC faite par Brm en attente validation LP</t>
  </si>
  <si>
    <t>Verrou à remettre à la facturation et non pas au niveau du solde
Fin de facturation Y/N à revoir</t>
  </si>
  <si>
    <t>QUA</t>
  </si>
  <si>
    <t>AQL/Dilshad</t>
  </si>
  <si>
    <t>Batch automatique de génération fichiers pdf facture, Packing list, BT, Test labo</t>
  </si>
  <si>
    <t>Migration SoApp vers MVC</t>
  </si>
  <si>
    <t>SALES</t>
  </si>
  <si>
    <t>Tsiry/Aina</t>
  </si>
  <si>
    <t>Dev started</t>
  </si>
  <si>
    <t>Finishing Hourly Packed</t>
  </si>
  <si>
    <t>- Hourly Packed qty (100%)
- Hourly Traget values (100%)
- Section Administration (100%)
- Scheduled Task (100%)</t>
  </si>
  <si>
    <t>Production Mix Tool</t>
  </si>
  <si>
    <t>WORK STUDY</t>
  </si>
  <si>
    <t>Transfert affection mise</t>
  </si>
  <si>
    <t>Amélioration apportée, pour éviter le désaffectation puis réaffectation mise</t>
  </si>
  <si>
    <t>WASHING</t>
  </si>
  <si>
    <t>SG01</t>
  </si>
  <si>
    <t>SG02</t>
  </si>
  <si>
    <t>Link AIL -&gt; GPAO (new project)</t>
  </si>
  <si>
    <t>SG03</t>
  </si>
  <si>
    <t>Washing</t>
  </si>
  <si>
    <t>Digitalisation de la fiche à minima ==&gt; FSS: Fabric Specification Sheet</t>
  </si>
  <si>
    <t>Rework InLine Final</t>
  </si>
  <si>
    <t>QUALITY</t>
  </si>
  <si>
    <t>Flavien</t>
  </si>
  <si>
    <t>- Future projection (30%)
- Historical (30%)
- Customers (30%)
- Scheduled task (30%)</t>
  </si>
  <si>
    <t>Attente données Excel avec formule venant de Mina</t>
  </si>
  <si>
    <t>CTN/SGL</t>
  </si>
  <si>
    <t>GR01a</t>
  </si>
  <si>
    <t>Séparer "supplier chemical" et "greige yarn"</t>
  </si>
  <si>
    <t>Créer interface pour le supplier</t>
  </si>
  <si>
    <t>Envoyer notification que le fournisseur dispose de 3 semaines pour compléter les documents et infos</t>
  </si>
  <si>
    <t>Insérer documents et infos supplier</t>
  </si>
  <si>
    <t>Identifiant supplier fabricant ou revendeur</t>
  </si>
  <si>
    <t>Date d'éxpiration est liée à la livraison</t>
  </si>
  <si>
    <t>Les produits basiques ne possèdent pas de certificat</t>
  </si>
  <si>
    <t>Valider docs et infos</t>
  </si>
  <si>
    <t>Rapport hebdomadaire sur les statuts des commandes</t>
  </si>
  <si>
    <t>Zo</t>
  </si>
  <si>
    <t>GR01b</t>
  </si>
  <si>
    <t>GR01c</t>
  </si>
  <si>
    <t>GR01e</t>
  </si>
  <si>
    <t>GR01f</t>
  </si>
  <si>
    <t>GR01g</t>
  </si>
  <si>
    <t>GR01h</t>
  </si>
  <si>
    <t>GR01i</t>
  </si>
  <si>
    <t>GR01j</t>
  </si>
  <si>
    <t>Insérer les achats MCPAT dans suppliers chemicals (basic, specifique)</t>
  </si>
  <si>
    <t>Ecran de saisie achat MCPAT pour Cottonline</t>
  </si>
  <si>
    <t>GR01k</t>
  </si>
  <si>
    <t>GR01l</t>
  </si>
  <si>
    <t>Envoyer alerte ID Card si date expiration - 4 semaines</t>
  </si>
  <si>
    <t>Envoyer alerte ID Card si date expiration - 1 semaine</t>
  </si>
  <si>
    <t>Mettre en place une code de correspondance des produits entre CF et CTL (à paramétrer)</t>
  </si>
  <si>
    <t>GR01m</t>
  </si>
  <si>
    <t>GR01n</t>
  </si>
  <si>
    <t>GR01o</t>
  </si>
  <si>
    <t>GR01p</t>
  </si>
  <si>
    <t>GR01r</t>
  </si>
  <si>
    <t>Liste des detinataires mails (Zo)</t>
  </si>
  <si>
    <t>- Ajout nouvel champ clé soit mise (bulk) ou PO GPAO (CT) dans WFX (100%)
- Update batch JSON (100%)
- Récuperation automatique des données GPAO à partir de ce champ clé (100%)
- Dev Création automatique de la commande GPAO AIL (100%)</t>
  </si>
  <si>
    <t>CF141bis</t>
  </si>
  <si>
    <t>Utilisation écran existant dans AMG</t>
  </si>
  <si>
    <t xml:space="preserve">End Date </t>
  </si>
  <si>
    <t>VA</t>
  </si>
  <si>
    <t>- Definition  workflow (Ashwen) - OK
- Defintion du dossier paratgé (sharepoint) - OK
- Envoi Fichier JSON pour test (Ashwen)  - OK
- Generation auto JSON dans Sharepoint(Krishna) - OK
- JSON Parsing code (Fetra)- OK
- Jackson ask to add Retailer, batch number in JSON file (Krishna) - OK</t>
  </si>
  <si>
    <t>Attente mise à jour RFC (Thierry) (inclure Shakil pour lancer projet), faire un email à RH pour aller au bout du projet avec un ticket RFC ( ajout champ commentaire faisabilité + envoi email auto  à l'emetteur de FSR)</t>
  </si>
  <si>
    <t>email à RH s'il faut continuer le projet ou pas</t>
  </si>
  <si>
    <t>CF184</t>
  </si>
  <si>
    <t>Digitalization inventaire immo</t>
  </si>
  <si>
    <t>CTE</t>
  </si>
  <si>
    <t>Natacha</t>
  </si>
  <si>
    <t>•	Etablir le Work Breakdown Structure : travailler sur la codification de chaque machine sur le registre immobilisation par rapport au Dimomaint.
a)	Déterminer les nombres de code immo
b)	Déterminer le temps à allouer pour réaliser le projet.
c)	Définir le champion
d)	Etablir le planning de réalisation
e)	Date définie pour finir le projet en entier.
•	Travailler avec l’IT sur la migration des codes en codes-barres et l’application qui va avec.
•	Coller chaque code-barres sur chaque machine.</t>
  </si>
  <si>
    <t>Ajouter un onglet permettant au fournisseur d'indiquer s'il est supplier ou Manufacturer (case à cocher)</t>
  </si>
  <si>
    <t>Insérer un bouton permettant au fournisseur de supprimer le document attaché (Business license)</t>
  </si>
  <si>
    <t>Ajouter un onglet permettant au fournisseur d'indiquer s'il est supplier ou Manufacturer (choix déroulant)</t>
  </si>
  <si>
    <t>Les lot number et expiration date se duplique en fonction du nombre de lots livrés</t>
  </si>
  <si>
    <t>Insérer un onglet pour attacher le MSDS avec date d'expiration</t>
  </si>
  <si>
    <t>GR01s</t>
  </si>
  <si>
    <t>GR01t</t>
  </si>
  <si>
    <t>GR01u</t>
  </si>
  <si>
    <t>GR01v</t>
  </si>
  <si>
    <t>GR01w</t>
  </si>
  <si>
    <t xml:space="preserve">Insérer un bouton permettant au fournisseur de supprimer le document attaché </t>
  </si>
  <si>
    <t>Tous les certificats (GOTS, ZDHC, Oëko-tex, Buesign, Reach) ne s'affichent pas pour les produits basiques</t>
  </si>
  <si>
    <t>Ajouter liste des produits expirés dans onglet "profile"
Afficher en rouge les certificats expirés</t>
  </si>
  <si>
    <t>Système de solde documents (épuration list plateforme) - Bouton "SEND"</t>
  </si>
  <si>
    <t>Delivery history, ajouter le num BL, quantité par livraison</t>
  </si>
  <si>
    <t>GR01x</t>
  </si>
  <si>
    <t>GR01y</t>
  </si>
  <si>
    <t>GR01z</t>
  </si>
  <si>
    <t>GR01aa</t>
  </si>
  <si>
    <t>Maj plateforme avec les infos de ID card et inversement</t>
  </si>
  <si>
    <t>attente ajout fonctionnalité de RH, Partie CAL OK</t>
  </si>
  <si>
    <t>CF134</t>
  </si>
  <si>
    <t xml:space="preserve">Mail automatique « Waiting FNL » envoyé journalièrement </t>
  </si>
  <si>
    <t>DB</t>
  </si>
  <si>
    <t>CF135</t>
  </si>
  <si>
    <t>Les saisies des raisons seront obligatoires pour les deux cas pour permettre à des analyses ultérieures. Ecran de saisie des causes de retard FNL</t>
  </si>
  <si>
    <t xml:space="preserve">Ecran de saisie / modification des adresses mails clients </t>
  </si>
  <si>
    <t>Nous allons créer une base des données des contacts emails de nos clients par contremarque et département. Lesquels seront pris par le système lors de l’envoi de l’alerte aux clients.</t>
  </si>
  <si>
    <t>SG04</t>
  </si>
  <si>
    <t>Scan issue chemical for sample</t>
  </si>
  <si>
    <t>Scan washing operation for sample</t>
  </si>
  <si>
    <t>Scan washing operation for bulk</t>
  </si>
  <si>
    <t>SG05</t>
  </si>
  <si>
    <t>En attente revue données avec Dani</t>
  </si>
  <si>
    <t>- Flow (100%)
- Create(100%)
- Update (100%)
- Mail administration (100%)
- Reporting (100%)</t>
  </si>
  <si>
    <t>Fusion du projet vers le portail MVC (100%)</t>
  </si>
  <si>
    <t>CF137</t>
  </si>
  <si>
    <t>Commande avec mise (CT, SU, SO) </t>
  </si>
  <si>
    <t>• Les commandes avec mise seront soldées automatiquement au moment du solde de la mise.
• Une alerte sera envoyée au créateur du FSR lorsque la mise est soldée.
• Si le ou les A4 ne sont pas reçus au moment du solde de la mise, le commercial coche la case « A4 pas encore reçu ». A leur réception, les commerciaux saisissent la date de réception dans la GPAO. 
Ces dates seront utilisées pour les analyses futures.
• Un mail automatique journalier sera envoyé aux commerciaux et à l’équipe Service Produit pour les attentes A4.</t>
  </si>
  <si>
    <t>CF138</t>
  </si>
  <si>
    <t>Commande sans mise (HL, LD, RL, RC, BL</t>
  </si>
  <si>
    <t>• Le Service Produit indique, dans la GPAO, la date de la disponibilité des échantillons avec une alerte mail automatique au commercial.
• Cela bascule automatiquement les informations relatives à cette commande d’échantillonnage dans l’écran prévu pour les commerciaux.
• Quand tous les paramètres à l’échantillon/développement sont reçus par les commerciaux, ils doivent solder immédiatement la commande échantillonnage en saisissant le mot « COMPLETE » au champ réservé et intitulé « Status ». La date solde générée par le système correspond à la date de réception de l’échantillon/développement.
• Sinon le commercial retourne les échantillons/développements au Service Produit et mettre « RETURN » dans la champ « Status » en choisissant la cause du retour (menu déroulant : spectro not received, file not complete, …).
• Un mail automatique journalier sera envoyé aux commerciaux et à l’équipe Service Produit pour alerter les commandes attentes solde avec le nombre de jour d’attente.</t>
  </si>
  <si>
    <t>CF139</t>
  </si>
  <si>
    <t xml:space="preserve">La traçabilité (date et user) a été ajouté dans la GPAO pour les nouveaux départements </t>
  </si>
  <si>
    <t>Ce projet est lié au projet  &lt;&lt; [Ticket #28859] RFC washing recipe for BULK&gt;&gt; realisé par Dani dans CRP.</t>
  </si>
  <si>
    <t>Gestion des sports et loisirs du groupe socota</t>
  </si>
  <si>
    <t>SPORT et LOISIR</t>
  </si>
  <si>
    <t>Régis</t>
  </si>
  <si>
    <r>
      <t xml:space="preserve">- Facturation : unité U à mettre par défaut pour les prix 650$ ou 200$ ou 25$
- Mettre un choix si surcouts à afficher dans o/c ou non
</t>
    </r>
    <r>
      <rPr>
        <b/>
        <sz val="11"/>
        <color rgb="FFFF0000"/>
        <rFont val="Frutiger LT 45 Light"/>
        <family val="2"/>
      </rPr>
      <t xml:space="preserve">Canceled PO Dilshad
</t>
    </r>
    <r>
      <rPr>
        <b/>
        <sz val="11"/>
        <rFont val="Frutiger LT 45 Light"/>
        <family val="2"/>
      </rPr>
      <t xml:space="preserve">RFC changé (mail de VA le 10/12/2024)
</t>
    </r>
    <r>
      <rPr>
        <sz val="11"/>
        <rFont val="Frutiger LT 45 Light"/>
        <family val="2"/>
      </rPr>
      <t xml:space="preserve">- Un écran de saisie des réclamations clients (100%)
- Basculement de la provision en claim (100%)
- Validation du Directeur cal (100%)
- Cloture provision/Claim (100%)
</t>
    </r>
  </si>
  <si>
    <t>Colisage / facturation automatique</t>
  </si>
  <si>
    <t>BRm</t>
  </si>
  <si>
    <t>Remise sur choix AB, AR, AL de BRm
Choix B = 50% automatiquement
Choix A pas de remise</t>
  </si>
  <si>
    <t>Création automatique des notes de crédit par rapport à la remise définie par la Qualité</t>
  </si>
  <si>
    <t>Somme de Ticket #</t>
  </si>
  <si>
    <t>(Plusieurs éléments)</t>
  </si>
  <si>
    <t>Digitalisation ITSR</t>
  </si>
  <si>
    <t>Web service dimo : exportation BI dans DIMO vers CRP</t>
  </si>
  <si>
    <t>Digitalisation planning</t>
  </si>
  <si>
    <t>CF144</t>
  </si>
  <si>
    <t>WIP</t>
  </si>
  <si>
    <t>- Ecrans (02) de lancement
- Ecran de planification atelier</t>
  </si>
  <si>
    <r>
      <t xml:space="preserve">- Ajout nouvelles fonctionnalités proposées par Tiana/Aurélie/Marc
- Groupages des factures en anglais (waiting réunion)
</t>
    </r>
    <r>
      <rPr>
        <b/>
        <sz val="11"/>
        <color rgb="FFFF0000"/>
        <rFont val="Frutiger LT 45 Light"/>
        <family val="2"/>
      </rPr>
      <t>S/BY PO Aurélie</t>
    </r>
  </si>
  <si>
    <t>Test avec du programme de Dani dans CRP est OK (Go live 20-02-2025)</t>
  </si>
  <si>
    <t>SG06</t>
  </si>
  <si>
    <t>Modification sur plateforme stock IT</t>
  </si>
  <si>
    <t>SG07</t>
  </si>
  <si>
    <t>SG08</t>
  </si>
  <si>
    <t>Importation de mise à jour  stock CRP vers DIMO</t>
  </si>
  <si>
    <t>- Circuit par mise
- Liste des mises par machine
- WIP planning</t>
  </si>
  <si>
    <t>CF179</t>
  </si>
  <si>
    <t>Lier FSS et SDL</t>
  </si>
  <si>
    <t>Surligner les articles dans SDL si le FSS est validé</t>
  </si>
  <si>
    <t>Création automatique de la mise à la saisie de la date ordo</t>
  </si>
  <si>
    <t>Fiabiliser SDL</t>
  </si>
  <si>
    <t>Revoir la liste des blacklist
Séparer Blacklist et master record
Debugging des articles non figuré dans SDL</t>
  </si>
  <si>
    <t>Digitalisation des FDS PVH et Petit Bateau</t>
  </si>
  <si>
    <t xml:space="preserve">Historique de sortie par BI </t>
  </si>
  <si>
    <t xml:space="preserve">En attente de formation des responsables par dicipline </t>
  </si>
  <si>
    <t>PO Achat</t>
  </si>
  <si>
    <t>AMG</t>
  </si>
  <si>
    <t>Fanilo</t>
  </si>
  <si>
    <t>Tina</t>
  </si>
  <si>
    <t>- Automatisation résultat labo par rapport aux requirements (5%)
- Ajouter dans le plateforme FSR la mention obligatoire "Besoin FSS O/N ?" + alerte vers le Labo
- Un écran GPAO pour afficher la liste des waiting FSS 
Et un cochage quand le FSS sera dispo + alerte vers le créateur du FSR
- Afficher les blacklists dans la plateforme + export to EXCEL
- Mail automatique dès qu'un article a été basculé en blacklist
- Faire les FSS et audit SDL pour les 30 articles en best sellers
- Digitalisation de la génération FSS (provisoire &amp; définitif) en pdf avec sauvegarde automatique dans le serveur
- Fichier excel avec les règles pour Checkers / TBI / Everlane
- Liste des « type de garments » – ajuster la liste avec mapping avant après 
- Ajout des tests inexistants dans GPAO (100%)
- Report FSS (provisional &amp; definitive) 100%
- Regenerate top 30 best sellers FSS
- Data CF commitments =&gt; Revalider fichier Excel requirement + upload
- Format standard FDS
- Le resultat du test (pass/fail) est calculé par le système et non modifiable =&gt; Revoir la formule PASS/FAIL dans test result</t>
  </si>
  <si>
    <t>Interface CRP/DIMOMAINT</t>
  </si>
  <si>
    <t>Shipment &amp; Export Cost improvement</t>
  </si>
  <si>
    <t>Status Infull per DCPO i/o CRPPO</t>
  </si>
  <si>
    <t>New work contracts</t>
  </si>
  <si>
    <t>Cut ticket Dematerialization</t>
  </si>
  <si>
    <t>Production incentive: Rework criterias change</t>
  </si>
  <si>
    <t>Completed orders in Sewing</t>
  </si>
  <si>
    <t>Purchasing Request Budget control</t>
  </si>
  <si>
    <t xml:space="preserve">SL Invoice : Security validation </t>
  </si>
  <si>
    <t>Virement goupé WS &amp; Staffs</t>
  </si>
  <si>
    <t>Printing and Embroidery info to Evolve</t>
  </si>
  <si>
    <t>SRS module link with Washing module</t>
  </si>
  <si>
    <t>WIP follow up report</t>
  </si>
  <si>
    <t>Generate data and pdf files for BCI_PCP plateform</t>
  </si>
  <si>
    <t>Link GPAO - CRP</t>
  </si>
  <si>
    <t>Moving FGW from F2 to SG2</t>
  </si>
  <si>
    <t>Creation of view for PBI Customer satisfaction</t>
  </si>
  <si>
    <t>SNAP section efficiency</t>
  </si>
  <si>
    <t>Creation of new fields for PSS requirement and PSS submission date</t>
  </si>
  <si>
    <t>Gestion des produits chimiques par barcode</t>
  </si>
  <si>
    <t>CRITICAL PATH – SAMPLE TNA improvement</t>
  </si>
  <si>
    <t>GENITEM NEW ARCHITECTURE</t>
  </si>
  <si>
    <t>Flux DIMO Maint / CRP</t>
  </si>
  <si>
    <t>Automate GRN entry of CF fabrics in CRP (throught link between GPAO/CRP)</t>
  </si>
  <si>
    <t>Shipment consignment note</t>
  </si>
  <si>
    <t>BO 100360 Management</t>
  </si>
  <si>
    <t>Declaration CNAPS modfication</t>
  </si>
  <si>
    <t>GI ITEM CREATION ON CRP</t>
  </si>
  <si>
    <t xml:space="preserve">On Time Submission SMV </t>
  </si>
  <si>
    <t>Special Machine management</t>
  </si>
  <si>
    <t>Additional Information on Equipment</t>
  </si>
  <si>
    <t>Issuing part CRP-&gt; dimo</t>
  </si>
  <si>
    <t xml:space="preserve">Chemicals Issuing time optimization </t>
  </si>
  <si>
    <t>Blocking GRN Fabric Delivered after Finalized Cut</t>
  </si>
  <si>
    <t>QLTY</t>
  </si>
  <si>
    <t>Mer</t>
  </si>
  <si>
    <t>Vony</t>
  </si>
  <si>
    <t>Payroll</t>
  </si>
  <si>
    <t>Sariaka</t>
  </si>
  <si>
    <t>Vickram</t>
  </si>
  <si>
    <t>Patrick</t>
  </si>
  <si>
    <t>DD</t>
  </si>
  <si>
    <t>Solo</t>
  </si>
  <si>
    <t>Cancelled</t>
  </si>
  <si>
    <t>Waiting for the data entered by ENG</t>
  </si>
  <si>
    <t>One part already GoLive, another part waiting for RFC</t>
  </si>
  <si>
    <t>RFC and process under discussion</t>
  </si>
  <si>
    <t>RFC to be validated</t>
  </si>
  <si>
    <t>RFC to be discussed</t>
  </si>
  <si>
    <t>RFC revised by Mina &amp; Hasina</t>
  </si>
  <si>
    <t>To be decided whether to Cancel or not</t>
  </si>
  <si>
    <t xml:space="preserve">Another part </t>
  </si>
  <si>
    <t>Medium</t>
  </si>
  <si>
    <t>High</t>
  </si>
  <si>
    <t>Low</t>
  </si>
  <si>
    <t>Quality New Reports</t>
  </si>
  <si>
    <t>Dev Volume</t>
  </si>
  <si>
    <t>24518</t>
  </si>
  <si>
    <t>24530</t>
  </si>
  <si>
    <t>24670</t>
  </si>
  <si>
    <t>24673</t>
  </si>
  <si>
    <t>24709</t>
  </si>
  <si>
    <t>24822</t>
  </si>
  <si>
    <t>24843</t>
  </si>
  <si>
    <t>24845</t>
  </si>
  <si>
    <t>24857</t>
  </si>
  <si>
    <t>24864</t>
  </si>
  <si>
    <t>24879</t>
  </si>
  <si>
    <t>24927</t>
  </si>
  <si>
    <t>24949</t>
  </si>
  <si>
    <t>24968</t>
  </si>
  <si>
    <t>24974</t>
  </si>
  <si>
    <t>25008</t>
  </si>
  <si>
    <t>25009</t>
  </si>
  <si>
    <t>25060</t>
  </si>
  <si>
    <t>25073</t>
  </si>
  <si>
    <t>25082</t>
  </si>
  <si>
    <t>25116</t>
  </si>
  <si>
    <t>25148</t>
  </si>
  <si>
    <t>25173</t>
  </si>
  <si>
    <t>25202</t>
  </si>
  <si>
    <t>25207</t>
  </si>
  <si>
    <t>25393</t>
  </si>
  <si>
    <t>25436</t>
  </si>
  <si>
    <t>25438</t>
  </si>
  <si>
    <t>25453</t>
  </si>
  <si>
    <t>25547</t>
  </si>
  <si>
    <t>25582</t>
  </si>
  <si>
    <t>25583</t>
  </si>
  <si>
    <t>25587</t>
  </si>
  <si>
    <t>25660</t>
  </si>
  <si>
    <t>25674</t>
  </si>
  <si>
    <t>25746</t>
  </si>
  <si>
    <t>25768</t>
  </si>
  <si>
    <t>25771</t>
  </si>
  <si>
    <t>25789</t>
  </si>
  <si>
    <t>25790</t>
  </si>
  <si>
    <t>25813</t>
  </si>
  <si>
    <t>25840</t>
  </si>
  <si>
    <t>25845</t>
  </si>
  <si>
    <t>25922</t>
  </si>
  <si>
    <t>25925</t>
  </si>
  <si>
    <t>25928</t>
  </si>
  <si>
    <t>25952</t>
  </si>
  <si>
    <t>25971</t>
  </si>
  <si>
    <t>25977</t>
  </si>
  <si>
    <t>25980</t>
  </si>
  <si>
    <t>26046</t>
  </si>
  <si>
    <t>26069</t>
  </si>
  <si>
    <t>26137</t>
  </si>
  <si>
    <t>26211</t>
  </si>
  <si>
    <t>26228</t>
  </si>
  <si>
    <t>26267</t>
  </si>
  <si>
    <t>26281</t>
  </si>
  <si>
    <t>26306</t>
  </si>
  <si>
    <t>26320</t>
  </si>
  <si>
    <t>26344</t>
  </si>
  <si>
    <t>26378</t>
  </si>
  <si>
    <t>26399</t>
  </si>
  <si>
    <t>26414</t>
  </si>
  <si>
    <t>26440</t>
  </si>
  <si>
    <t>26501</t>
  </si>
  <si>
    <t>26523</t>
  </si>
  <si>
    <t>26527</t>
  </si>
  <si>
    <t>26613</t>
  </si>
  <si>
    <t>26623</t>
  </si>
  <si>
    <t>26642</t>
  </si>
  <si>
    <t>26758</t>
  </si>
  <si>
    <t>26772</t>
  </si>
  <si>
    <t>26884</t>
  </si>
  <si>
    <t>26949</t>
  </si>
  <si>
    <t>26958</t>
  </si>
  <si>
    <t>26973</t>
  </si>
  <si>
    <t>27033</t>
  </si>
  <si>
    <t>27055</t>
  </si>
  <si>
    <t>27070</t>
  </si>
  <si>
    <t>27103</t>
  </si>
  <si>
    <t>27104</t>
  </si>
  <si>
    <t>27109</t>
  </si>
  <si>
    <t>27205</t>
  </si>
  <si>
    <t>27258</t>
  </si>
  <si>
    <t>27275</t>
  </si>
  <si>
    <t>27298</t>
  </si>
  <si>
    <t>27307</t>
  </si>
  <si>
    <t>27321</t>
  </si>
  <si>
    <t>27355</t>
  </si>
  <si>
    <t>27356</t>
  </si>
  <si>
    <t>27384</t>
  </si>
  <si>
    <t>27429</t>
  </si>
  <si>
    <t>27440</t>
  </si>
  <si>
    <t>27482</t>
  </si>
  <si>
    <t>27483</t>
  </si>
  <si>
    <t>27520</t>
  </si>
  <si>
    <t>27531</t>
  </si>
  <si>
    <t>27576</t>
  </si>
  <si>
    <t>27607</t>
  </si>
  <si>
    <t>27666</t>
  </si>
  <si>
    <t>27725</t>
  </si>
  <si>
    <t>27774</t>
  </si>
  <si>
    <t>27783</t>
  </si>
  <si>
    <t>27805</t>
  </si>
  <si>
    <t>27994</t>
  </si>
  <si>
    <t>28012</t>
  </si>
  <si>
    <t>28013</t>
  </si>
  <si>
    <t>28017</t>
  </si>
  <si>
    <t>28023</t>
  </si>
  <si>
    <t>28047</t>
  </si>
  <si>
    <t>28051</t>
  </si>
  <si>
    <t>28073</t>
  </si>
  <si>
    <t>28097</t>
  </si>
  <si>
    <t>28104</t>
  </si>
  <si>
    <t>28116</t>
  </si>
  <si>
    <t>28155</t>
  </si>
  <si>
    <t>28197</t>
  </si>
  <si>
    <t>28321</t>
  </si>
  <si>
    <t>28329</t>
  </si>
  <si>
    <t>28339</t>
  </si>
  <si>
    <t>28356</t>
  </si>
  <si>
    <t>28359</t>
  </si>
  <si>
    <t>28367</t>
  </si>
  <si>
    <t>28386</t>
  </si>
  <si>
    <t>28389</t>
  </si>
  <si>
    <t>28404</t>
  </si>
  <si>
    <t>28444</t>
  </si>
  <si>
    <t>28459</t>
  </si>
  <si>
    <t>28465</t>
  </si>
  <si>
    <t>28517</t>
  </si>
  <si>
    <t>28545</t>
  </si>
  <si>
    <t>28579</t>
  </si>
  <si>
    <t>28615</t>
  </si>
  <si>
    <t>28621</t>
  </si>
  <si>
    <t>28701</t>
  </si>
  <si>
    <t>28731</t>
  </si>
  <si>
    <t>28859</t>
  </si>
  <si>
    <t>28936</t>
  </si>
  <si>
    <t>28949</t>
  </si>
  <si>
    <t>29015</t>
  </si>
  <si>
    <t>29030</t>
  </si>
  <si>
    <t>29047</t>
  </si>
  <si>
    <t>29178</t>
  </si>
  <si>
    <t>29179</t>
  </si>
  <si>
    <t>29241</t>
  </si>
  <si>
    <t>29302</t>
  </si>
  <si>
    <t>29347</t>
  </si>
  <si>
    <t>29366</t>
  </si>
  <si>
    <t>29453</t>
  </si>
  <si>
    <t>29465</t>
  </si>
  <si>
    <t>29495</t>
  </si>
  <si>
    <t>29510</t>
  </si>
  <si>
    <t>29583</t>
  </si>
  <si>
    <t>29677</t>
  </si>
  <si>
    <t>29683</t>
  </si>
  <si>
    <t>29761</t>
  </si>
  <si>
    <t>29770</t>
  </si>
  <si>
    <t>29819</t>
  </si>
  <si>
    <t>29823</t>
  </si>
  <si>
    <t>29844</t>
  </si>
  <si>
    <t>29875</t>
  </si>
  <si>
    <t>29941</t>
  </si>
  <si>
    <t>29943</t>
  </si>
  <si>
    <t>29947</t>
  </si>
  <si>
    <t>29972</t>
  </si>
  <si>
    <t>29974</t>
  </si>
  <si>
    <t>30021</t>
  </si>
  <si>
    <t>30052</t>
  </si>
  <si>
    <t>30070</t>
  </si>
  <si>
    <t>30076</t>
  </si>
  <si>
    <t>30083</t>
  </si>
  <si>
    <t>30096</t>
  </si>
  <si>
    <t>30116</t>
  </si>
  <si>
    <t>30181</t>
  </si>
  <si>
    <t>30219</t>
  </si>
  <si>
    <t>30347</t>
  </si>
  <si>
    <t>30447</t>
  </si>
  <si>
    <t>30462</t>
  </si>
  <si>
    <t>30496</t>
  </si>
  <si>
    <t>30527</t>
  </si>
  <si>
    <t>30701</t>
  </si>
  <si>
    <t>30909</t>
  </si>
  <si>
    <t>30925</t>
  </si>
  <si>
    <t>30926</t>
  </si>
  <si>
    <t>30961</t>
  </si>
  <si>
    <t>31085</t>
  </si>
  <si>
    <t>31094</t>
  </si>
  <si>
    <t>31109</t>
  </si>
  <si>
    <t>31137</t>
  </si>
  <si>
    <t>31172</t>
  </si>
  <si>
    <t>31203</t>
  </si>
  <si>
    <t>31225</t>
  </si>
  <si>
    <t>31236</t>
  </si>
  <si>
    <t>31253</t>
  </si>
  <si>
    <t>Close Date</t>
  </si>
  <si>
    <t>31404</t>
  </si>
  <si>
    <t>Scan issuing chemical for bulk</t>
  </si>
  <si>
    <t>CF185</t>
  </si>
  <si>
    <t>Solde LC obligatoire même si le métrage n'est pas complet (&lt;86%) et avec causes saisies par le Planning</t>
  </si>
  <si>
    <t>TR</t>
  </si>
  <si>
    <t>1</t>
  </si>
  <si>
    <t>Adjustment of CRP to align with CF agreement</t>
  </si>
  <si>
    <t>Matrice envoyé par SUSTAINABILITY, vue à créer pour source de données d'un fichier Excel refreshable</t>
  </si>
  <si>
    <t>- Access level with AD (100%)
- Rework in line entries (100%)
- Rework final entries (100%)
- Unitwise dashboard (100%)
- Unitwise report (100%)
- Modulewise dashboard (100%)
- Modulewise report (100%)
- Bonus calculation dashboard (100%)
- Bonus calculation report (100%)
- Revérification rework in line pour les saisie des entrées (100%)
- Rajout onglet Internal Quality avec details et récapitulation et rapport (100%)
- Rajout / filtre date multiple dans modulewise et internal Quantity (100%)
- Mise à jour fichier power BI selon la base de données (50%)</t>
  </si>
  <si>
    <t>Discount insertion at GRN stage</t>
  </si>
  <si>
    <t>28-feb-25</t>
  </si>
  <si>
    <t>Just wit for the test validation of Mina and Vonjy</t>
  </si>
  <si>
    <t>TIAF</t>
  </si>
  <si>
    <t>CF186</t>
  </si>
  <si>
    <t>Règles de gestion SDL</t>
  </si>
  <si>
    <t>*une grande difference au niveau reporting entre vs2015 et vs 2022 
*Amelioration des recherches et filtres pour eviter la lenteur au niveau cahrgement des pages 
*Solution trouver pour l'adaptation entre les 2 versions
*Correction et mis au point PLC avant mis en production
*Correction et ajustement vis à vis de plc actuel 
*Verification et test avant mis en production</t>
  </si>
  <si>
    <t>SGL PO avec mention "NEW RULE"</t>
  </si>
  <si>
    <t>- Fiche suiveuse
- Bilan commande
- Saisie date ordo
- Fiche d'approbation
- Création commande</t>
  </si>
  <si>
    <t>FDS via EXCEL formaté sur Stimulsoft</t>
  </si>
  <si>
    <t>ORVIS
FULL BEAUTY
BROOKS
J.CREW
PETIT BATEAU</t>
  </si>
  <si>
    <t>Retour tissu au Visitage Ecru pour REVISITAGE</t>
  </si>
  <si>
    <t>Sahondra/Laza</t>
  </si>
  <si>
    <t>Reasons of Short cut &amp; Leakage Report</t>
  </si>
  <si>
    <t>31445</t>
  </si>
  <si>
    <t>FOR COSTING REQUEST &amp; SRS AMENDMENTS</t>
  </si>
  <si>
    <t>31930</t>
  </si>
  <si>
    <t>Reorganisation Sewing</t>
  </si>
  <si>
    <t>CRP/SEAM/PR</t>
  </si>
  <si>
    <t>32099</t>
  </si>
  <si>
    <t>Creation Script for transfer Stk auto to BO 29</t>
  </si>
  <si>
    <t>Not GO</t>
  </si>
  <si>
    <t>CF187</t>
  </si>
  <si>
    <t>CF188</t>
  </si>
  <si>
    <t>Dashboard claim</t>
  </si>
  <si>
    <t>GIII SAMPLE TAG</t>
  </si>
  <si>
    <t>Pending - Waiting for Trump decision at the end of July</t>
  </si>
  <si>
    <t>Pending - Waiting for the confirmation from Lanto Merch</t>
  </si>
  <si>
    <t>CF189</t>
  </si>
  <si>
    <t>CF190</t>
  </si>
  <si>
    <t>Gestion des pannes machine par START - STOP</t>
  </si>
  <si>
    <t>Gestion des retards, OTIF par le Planning</t>
  </si>
  <si>
    <t>- Identification de la scission à la visite
- Donner accès à la visite pour faire la scission de mise avec une autorisation reduite</t>
  </si>
  <si>
    <t>CF191</t>
  </si>
  <si>
    <t>Reconciliation métrage par step de production (par défaut +/- 7%). Verrou à mettre à chaque stade de production</t>
  </si>
  <si>
    <t>Digitalisation process route avec écran de groupage des EMS approved</t>
  </si>
  <si>
    <t>CF192</t>
  </si>
  <si>
    <t>Gestion des finitions mécaniques par commande commerciale</t>
  </si>
  <si>
    <t>CF193</t>
  </si>
  <si>
    <t>Création automatique de la commande GPAO à partir du booking</t>
  </si>
  <si>
    <t>CF194</t>
  </si>
  <si>
    <t>Gestion des destinataires/copies du mail automatique O/C</t>
  </si>
  <si>
    <t>Aina</t>
  </si>
  <si>
    <t>CF195</t>
  </si>
  <si>
    <t>Création automatique des notes de crédit générée par le Claim validé par LP</t>
  </si>
  <si>
    <t>SG09</t>
  </si>
  <si>
    <t>SG010</t>
  </si>
  <si>
    <t>Table / API Dimo pour PBI</t>
  </si>
  <si>
    <t>Washing Output</t>
  </si>
  <si>
    <t>Solotiana</t>
  </si>
  <si>
    <t>CF197</t>
  </si>
  <si>
    <t>CF198</t>
  </si>
  <si>
    <t>CF199</t>
  </si>
  <si>
    <t>CF200</t>
  </si>
  <si>
    <t>WIP planning dans le plateforme</t>
  </si>
  <si>
    <t>Filtre et rang des machines par atelier</t>
  </si>
  <si>
    <t>CF201</t>
  </si>
  <si>
    <t>CF202</t>
  </si>
  <si>
    <t>CF203</t>
  </si>
  <si>
    <t>Identifier la scission à la visite en attente gamme</t>
  </si>
  <si>
    <t>Scinder le métrage à la visite en trois colonnes:
- métrage initial avant scission
- métrage scindé
- métrage réel (final)</t>
  </si>
  <si>
    <t>Mentionné avec des codes couleurs les wet stage (rouge) et les mises dormant (rouge flash)</t>
  </si>
  <si>
    <t>Traitement en temps masqué</t>
  </si>
  <si>
    <t>Attente Feedback Ashwen sur relance du 31/10/24
Ashwen à dit que l'interface est actuellement géré par IA sur la base des Fichier  packing list XLS et PDF de CTN 31/08/2025</t>
  </si>
  <si>
    <t>Cancel</t>
  </si>
  <si>
    <t>Suivi provision/claim (WEB io GPAO)</t>
  </si>
  <si>
    <t>3-feb-25</t>
  </si>
  <si>
    <t>33148</t>
  </si>
  <si>
    <t>Commission PLC</t>
  </si>
  <si>
    <t>Phillibert</t>
  </si>
  <si>
    <t>32422</t>
  </si>
  <si>
    <t>32383</t>
  </si>
  <si>
    <t>FSR Upgrade</t>
  </si>
  <si>
    <t>Thierry</t>
  </si>
  <si>
    <t>Skill Matrix</t>
  </si>
  <si>
    <t>Vetso</t>
  </si>
  <si>
    <t>Projet</t>
  </si>
  <si>
    <t>Revison RFC : 02-sept-2025</t>
  </si>
  <si>
    <t>#33058</t>
  </si>
  <si>
    <t>Output &amp; Efficiency</t>
  </si>
  <si>
    <t>Work STUDY</t>
  </si>
  <si>
    <t>Olivier</t>
  </si>
  <si>
    <t>Traçabilité des sorties fils physique par PO</t>
  </si>
  <si>
    <t>Pour audit à partir du 20/10/2025</t>
  </si>
  <si>
    <t>Fetra sust</t>
  </si>
  <si>
    <t>Cause de la conformité des tissus</t>
  </si>
  <si>
    <t>CF204</t>
  </si>
  <si>
    <t>CF205</t>
  </si>
  <si>
    <t>CF206</t>
  </si>
  <si>
    <t>Demande automatique de remise par coupe à expédier</t>
  </si>
  <si>
    <t>Verrou création colisage/facturation automatique s'il n'y a pas de taux de bonification sur les choix AB et AR
Pour les choix B et C, le taux sera automatiquement 50%</t>
  </si>
  <si>
    <t>Ecran de saisie des bonifications au niveau Quality</t>
  </si>
  <si>
    <t>CF207</t>
  </si>
  <si>
    <t xml:space="preserve">Ajustement édition FSS par test/norme
</t>
  </si>
  <si>
    <t>Tojo</t>
  </si>
  <si>
    <t>Data WIP en temps réel.
Eviter le batch dans le serveur (création view)</t>
  </si>
  <si>
    <t>Plateform</t>
  </si>
  <si>
    <t>S/by</t>
  </si>
  <si>
    <t>CF208</t>
  </si>
  <si>
    <t>CF209</t>
  </si>
  <si>
    <t>WIP variances par Responsable</t>
  </si>
  <si>
    <t>Bonjour,
Merci de mettre en place la solde commande automatique suite mail en attache svp, ci-dessous la règle de gestion:
- Oui pour + ou – 97 %
- Pas de mises en cours
- Que sur les commandes réellement livrées, c'est à dire facture embarquées</t>
  </si>
  <si>
    <t>CF210</t>
  </si>
  <si>
    <t>Anticiper les anomalies interface GPAO vers SUN System</t>
  </si>
  <si>
    <t>Fredon
CTE</t>
  </si>
  <si>
    <t>34616</t>
  </si>
  <si>
    <t>CF211</t>
  </si>
  <si>
    <t>Reconnaissance facial vers Payroll</t>
  </si>
  <si>
    <t>Michel</t>
  </si>
  <si>
    <t>- Apllication console (100%)
- Application intranet (80%)</t>
  </si>
  <si>
    <t>Data WIP en temps réel.</t>
  </si>
  <si>
    <t>Eviter le batch dans le serveur (création view)</t>
  </si>
  <si>
    <t>CF196-1</t>
  </si>
  <si>
    <t>Demande recue le 25/11/2025
Attente Regles de Gestion</t>
  </si>
  <si>
    <t>Amelioration WIP Production CF</t>
  </si>
  <si>
    <t>Discount at source:</t>
  </si>
  <si>
    <t>IT001</t>
  </si>
  <si>
    <t>IT002</t>
  </si>
  <si>
    <t>Repartition Automatique des Livraisons Tissus CF par PO-BO CRP</t>
  </si>
  <si>
    <t>CF212</t>
  </si>
  <si>
    <t>New SDL</t>
  </si>
  <si>
    <t>-Identifier EMS racine (UT: conventionnel, TT: 1ère création sans extension), mère et fille dans EMS_EMPLOI_MATIERES (100%)
- Nouvel écran de duplication EMS automatique (100%)
- Bloquer la duplication si l'EMS n'est pas mère (100%)
- Création automatique des articles finis, écru, base, ems_article_finis au moment de la création commande GPAO (10%)
- Autoriser la création PO dans CRP même si l'article fini n'existe pas. A créer au moment de la création commande GPAO (100%)</t>
  </si>
  <si>
    <t>0</t>
  </si>
  <si>
    <t>RH</t>
  </si>
  <si>
    <t>Mme Fanja</t>
  </si>
  <si>
    <t>ITSR</t>
  </si>
  <si>
    <t xml:space="preserve">ITSR Update profil(Promotion) / ITSR Creation: + champ: rallonge credtit, changement plafond:data,credit </t>
  </si>
  <si>
    <t>Sasie discount
Edition facture
Factures émises
Facturation pièces
Stat par article
Stat par client
Réintegration avec discount
Retour avec discont
Interface GPAO - SUN</t>
  </si>
  <si>
    <t>Modif Master/Detail</t>
  </si>
  <si>
    <t>Summary Rework</t>
  </si>
  <si>
    <t>Voir Ticket</t>
  </si>
  <si>
    <t xml:space="preserve">- Home (100%)
- Search (100%)
- Technical sheet (100%)
- Administration (100%)
- Nouvelle demande suivant ticket #29777, Dev OK 100% , Test user encours </t>
  </si>
  <si>
    <t>CTN/SGL/CRE</t>
  </si>
  <si>
    <t>CF213</t>
  </si>
  <si>
    <t>CF215</t>
  </si>
  <si>
    <t>SG216</t>
  </si>
  <si>
    <t>CF216</t>
  </si>
  <si>
    <t>Incoterm réel par facture au moment de l'éxpedition (obligatoire)</t>
  </si>
  <si>
    <t>CF217</t>
  </si>
  <si>
    <t>Gestion des portefeuilles par client</t>
  </si>
  <si>
    <t>Ergonomie pour éviter les commandes non soldées oubliées ou erreur de saisie date ordo, date cal, ou autres erreurs</t>
  </si>
  <si>
    <t>CF218</t>
  </si>
  <si>
    <t>Dashboard LP</t>
  </si>
  <si>
    <t>CF219</t>
  </si>
  <si>
    <t>Leadtime Sampling</t>
  </si>
  <si>
    <t>CF220</t>
  </si>
  <si>
    <t>CF221</t>
  </si>
  <si>
    <t>Améliorations confirmation de commande</t>
  </si>
  <si>
    <t>- A maintenir la date initiale de confirmation de commande pour la mesure KPI. Date de réactivation et reconfirmation de commande à garder seulement dans l'historique
- Après saisi date ordo : Mail automatique à envoyer aux personnes : merch SF + chef de marché, avec la phrase ci-après : « Date ordo ok pour le contrat : 196952/2 ».
- Report FNL WITHOUT CAL DATE : à afficher seulement les commandes avec date ordo mais pas de date CAL
- "Mail automatique : à mentionner sur le corps du mail le thème  et s'il y a plusieurs lignes, il faut mentionner comme ci-dessous :
  1- THEME : YA1811 GATLIN GREEN
  2- THEME : XXXXXX"</t>
  </si>
  <si>
    <t>Envoi doc automatique au magasin</t>
  </si>
  <si>
    <t>Fetra/Jeanne</t>
  </si>
  <si>
    <t>Fanilo/Jeanne</t>
  </si>
  <si>
    <t>GAMME 500</t>
  </si>
  <si>
    <t>Narindra/Jeanne</t>
  </si>
  <si>
    <t>Ajustement de tous les écrans du projet MO - LC par rapport au lot fournisseur</t>
  </si>
  <si>
    <t>CF222</t>
  </si>
  <si>
    <t>CF223</t>
  </si>
  <si>
    <t>CF224</t>
  </si>
  <si>
    <t>Traçabilité des commandes sur stock</t>
  </si>
  <si>
    <t>Variante double impression digital et rotative</t>
  </si>
  <si>
    <t>Ecran de validation FA par le team leader avec signature automatique dès validation</t>
  </si>
  <si>
    <t>CF225</t>
  </si>
  <si>
    <t>CF226</t>
  </si>
  <si>
    <t>CF227</t>
  </si>
  <si>
    <t>Gestion des défauts au Tissage</t>
  </si>
  <si>
    <t>Les détails article, finition, coloris, dessin/vte IMP, dessin/vte TT à déplacer dans la ligne PLC</t>
  </si>
  <si>
    <t>Création automatique des commandes bulk à partir du PLC</t>
  </si>
  <si>
    <t>Ajout dans new SDL: 
. Mercerisé
. Double insertion
. Seersucker</t>
  </si>
  <si>
    <t>DMU</t>
  </si>
  <si>
    <t>Zed</t>
  </si>
  <si>
    <t>Appliquer directement la remise</t>
  </si>
  <si>
    <t>- Inventaire (Go live)
- Intégration : API 100%, Mobile 100 %
- Expedition : (Go live)</t>
  </si>
  <si>
    <t>Xibo pour affichage digital</t>
  </si>
  <si>
    <t>MANAGEMENT</t>
  </si>
  <si>
    <t>Mobile/Web</t>
  </si>
  <si>
    <t>Rova</t>
  </si>
  <si>
    <t>#36331</t>
  </si>
  <si>
    <t>WIP Washing</t>
  </si>
  <si>
    <t>Solo/Fitia</t>
  </si>
  <si>
    <t>Fashion Store</t>
  </si>
  <si>
    <t>STORE</t>
  </si>
  <si>
    <t>Vonjy/Rivo</t>
  </si>
  <si>
    <t>Jackson/Narindra/Fetra</t>
  </si>
  <si>
    <t>#36028</t>
  </si>
  <si>
    <t>Traceability chemical product washing</t>
  </si>
  <si>
    <t>SUSTAINABILITY</t>
  </si>
  <si>
    <t>Fetra sustainability</t>
  </si>
  <si>
    <t>31-mars-26</t>
  </si>
  <si>
    <t>13-Mars-26</t>
  </si>
  <si>
    <t>Finalisation mise à jour suite dernier MoM du 02/04/2026</t>
  </si>
  <si>
    <t>CF228</t>
  </si>
  <si>
    <t>Gestion des choix B TT au Tissage</t>
  </si>
  <si>
    <t>CF229</t>
  </si>
  <si>
    <t>En cours et Inventaire Visitage Ecru</t>
  </si>
  <si>
    <t>SF</t>
  </si>
  <si>
    <t>#36023</t>
  </si>
  <si>
    <t>Pointage SF automatique</t>
  </si>
  <si>
    <t>Console</t>
  </si>
  <si>
    <t>Mika</t>
  </si>
  <si>
    <t>- Extraction automatique des pointages vers format txt
selon condition de HRA
- Prendre le premier pointage enregistré si plusieurspointages se répète
pendant une intervalle de 2 minute pour un même matricule dans la même date</t>
  </si>
  <si>
    <t>-Rectification des derniers points dans le MoM du 16/04/2026 (100%)</t>
  </si>
  <si>
    <t>Mise à jour de la plateforme supplier</t>
  </si>
  <si>
    <t>Fetra/Nekena</t>
  </si>
  <si>
    <t>-Création interface accessible de l'extéireur pour upload des fichiers venant des fournisseurs (50%)
- Enregistrement des fichiers uploadés sur notre serveur selon le fournisseur choisi (50%)
- Fusionner l'interface avec l'interface google form déjà établie par sustainability (100%)
- Ajouter une option de télechargement du fichier DTH_DRH_Charte Achats Responsables_V1160225 Final version signée (004).pdf pour signature par les fournisseurs (0%)
- Montée en charge de la liste des fournisseur SF et SG dans la plateforme (0%)</t>
  </si>
  <si>
    <t>Validation Demande d'Achat</t>
  </si>
  <si>
    <t>Mise à jour CLAIM</t>
  </si>
  <si>
    <t>1-	Mettre en s/by le passage Quality.
Le circuit à mettre en place sera : Cal  Phil  TR  LP =&gt; Fait
2-	Claim refusé
Si refusé par Phil, afficher en rouge dans l’écran des créateurs 
Si refusé par TR, afficher rouge dans les écrans des créateurs, Phil
Si refusé par LP, afficher rouge dans tous les écrans 
3-	Séparer dans imputation : Planning et Logistic
4-	Agrandir tous les champs commentaires 
5-	Mettre en obligatoire les champs Root cause, Imputation et Commentaires Planning pour TR
6-	Le champ Imputation est visible uniquement pout LP et TR
7-	Dans l’onglet « Reporting »
7a- Ajouter le montant en $ pour la colonne département aussi
7b- Ajouter le délai de traitement par étape : Vert si &lt;7 jours, Jaune si entre 7-15 jours, Rouge si &lt;15 jours 
7c- Ajouter le recap : « Open » nb de claims ouverts 
                                    « Refused by LP» nb de claims refusé par LP  
                                    « Refused by LP» nb de claims refusé par TR  
                                    « Refused by LP» nb de claims refusé par Phil.
                                   « Closed » nb de claims closed.</t>
  </si>
  <si>
    <t>TT Mercerisé
(Avant cette demande, les TT sont tous non mercerisés et la termisaison X et AX pour les TT est impossible)</t>
  </si>
  <si>
    <t>Déstockage massif YKA</t>
  </si>
  <si>
    <t>Création automatique de la commande, colisage, facturation.
Création procédure, batch, fonction</t>
  </si>
  <si>
    <t>S/BY PO Fetra Sustainability</t>
  </si>
  <si>
    <t>Stock phone IT</t>
  </si>
  <si>
    <t>#36922</t>
  </si>
  <si>
    <t>CLAIM</t>
  </si>
  <si>
    <t>CTN-SG-CRE-GS</t>
  </si>
  <si>
    <t>#36805</t>
  </si>
  <si>
    <t>Digitalisation Signature + QR Code</t>
  </si>
  <si>
    <t>Elodie</t>
  </si>
  <si>
    <t>Liste des modifications à faire:
PROGRAMMES AFFECTES
FICHE SUIVEUSE (100%)
TEST REPORT (100%)
FSS
ETIQUETTE ROBRACK (100%)
SDL (100%)
PRI
BOOKING
PLC
BORDEREAU DE LIVRAISON
FACTURES
NOTE DE CREDIT
NOTE D'AVOIR
CONFIRMATION DE COMMANDE (100%)</t>
  </si>
  <si>
    <t>CF230</t>
  </si>
  <si>
    <t>CF231</t>
  </si>
  <si>
    <t>CF232</t>
  </si>
  <si>
    <t>CF233</t>
  </si>
  <si>
    <t>CF234</t>
  </si>
  <si>
    <t>Gestion des défauts Teinture Fil</t>
  </si>
  <si>
    <t>. Données ID CARD vers GPAO (100%)
. Mise à jour des MCPAT actif/non actif (100%)
. Verrou validation bon uniquement pour les MCPAT actifs (100%)
. Substitition MCPAT (100%)
. Verrou création bon de droguerie uniquement pour les MCPAT actifs (100%)
. Création recette dans GPAO pour les MCPAT actifs uniquement (100%)
. Verrou saisie de production sans bon de droguerie validé (100%)
Attente feedback users (Roger)
- MCPAT:
      .Yarn dyeing 100%
      .Weaving 100%
      .At. Blanc 100%
      .Teinture 100%
      .Impression 100%
      .Digital Print 100%
      .Finishing 100%</t>
  </si>
  <si>
    <t>- Serveur configuré</t>
  </si>
  <si>
    <t>En attente de la validation du RFC par Zed.
Aurelie a demandé quelques petites modifications et ajustements sur le RFC envoyé précédemment par Zed avant de pouvoir procéder à la validation finale.</t>
  </si>
  <si>
    <t>nous sommes actuellement en attente de l’intégration et des retours de l’équipe de Thiery afin de mieux comprendre le processus métier et de pouvoir avancer efficacement sur les prochaines étapes du projet.</t>
  </si>
  <si>
    <t>Gestion MCPAT (Pesage automatique)</t>
  </si>
  <si>
    <t>Test en cours</t>
  </si>
  <si>
    <t>Cutting Efficiency</t>
  </si>
  <si>
    <t>Amélioration de l'écran de modification commandes cal</t>
  </si>
  <si>
    <t>sans split
verrou des mises en cours
traçabilité des modifications faites</t>
  </si>
  <si>
    <t>VA dashboard</t>
  </si>
  <si>
    <t>Modules:'Gestion recette/ consommation/ stock et iventaire/Gestion des dechets/ gestion prevision/ pesage auto</t>
  </si>
  <si>
    <t>En cours : gestion recette/ gestion des dechet/pesage</t>
  </si>
  <si>
    <t>En cours: upload</t>
  </si>
  <si>
    <t xml:space="preserve"> En cours:  gestion des stock</t>
  </si>
  <si>
    <t>Dashboard Operationnel</t>
  </si>
  <si>
    <t>Rendre plus flexible, éliminer les règles automatique (si société SF=&gt; logo + banière SF) mais laisser le responsable choisir ce qu'il veut  avant de générer l'image (exemple : banière SOCOTA mais logo SG)</t>
  </si>
  <si>
    <t>-Serveur configuré(100%)
- Certains TV SMART SG sont déjà configurés, les autres on besoin de SMART BOX (80%)
- TV SF (0%)</t>
  </si>
  <si>
    <t>Configuration de la diffusion automatique d'un message au démarrage des écrans TV chaque matin.
.</t>
  </si>
  <si>
    <t>L'ajout de l'affichage des budgets des PO sur la page des valideurs de la plateforme a déjà été réalisé. La mise en service est en attente de la disponibilité de Laza.</t>
  </si>
  <si>
    <t>Waiting création PO SGL + écran de mise à jour par le power user</t>
  </si>
  <si>
    <t>CF235</t>
  </si>
  <si>
    <t>Liaison AIL vs GPAO par ligne de référence AIL
Données sur Excel pour AIL avec leur propre référence</t>
  </si>
  <si>
    <t>CF236</t>
  </si>
  <si>
    <t>CF237</t>
  </si>
  <si>
    <t>1- Customer satisfaction
2- Margin &amp; Contribution
3- Leakage
4- FNL WTD
5- FL
6- Invoicing vs integration
7- Sales current month
8- Finance SUN
9- Order status</t>
  </si>
  <si>
    <t>Split FSR dans la GPAO sans créer un new FSR</t>
  </si>
  <si>
    <t>CF238</t>
  </si>
  <si>
    <t>Suivi matiere (1er passage machine vs métrage sorti du magasin)</t>
  </si>
  <si>
    <t>Laza</t>
  </si>
  <si>
    <t>CF239</t>
  </si>
  <si>
    <t>Waiting PO/BO creation</t>
  </si>
  <si>
    <t>Order Status</t>
  </si>
  <si>
    <t>CF240</t>
  </si>
  <si>
    <t>Split booking des commandes fermes</t>
  </si>
  <si>
    <t>Conception de la maquette (UI/UX) (100%)
 récupération des données dans API depuis Oracle(70%)
Traitement et intégration des données dans l'interface (70%)
Finalisation de l'interface et optimisation du design(0%)</t>
  </si>
  <si>
    <t>Afichage automatique des styles par rapport à la date sélectionné dans Efficiency :
- Modification API (100%)
- Modification Intranet (0%)</t>
  </si>
  <si>
    <t>- Rectification des bugs constatés au fur et à mesure de l'utilisation du site
- Requête à vérifier car les "reject" sont à exclure (100%)
- Vérifier l'import des images, ne pas faire par Buyer, Item mais par Style Reference et couleur</t>
  </si>
  <si>
    <t>-Rectification Dashboard (Page 4) 100%
- Rajout page 5 (100%)
- Rajout interface de saisie manuel des heures travaillé pour les machines (100%) 
- Création tâche pour table statique source power bi (100%)
- Séparation power BI en pourcentage et en quantité au lieu de combiner les 2 (100%)
- Mettre l'interface de saisie manuel des heures travaillé des machines accessible depuis l'extérieur (authentification AD à changer) 100%
- Modif BI Split Day Shift &amp; Night Shift  en % &amp; Qty ( D&amp;C issue, Machine Utilization)
- Developper  interface  interactive (filtres) pour visualiser les détails % &amp; Qty Machine Utilization, selon demandes Regis &amp; Solo</t>
  </si>
  <si>
    <t>CF241</t>
  </si>
  <si>
    <t>CF242</t>
  </si>
  <si>
    <t>CF243</t>
  </si>
  <si>
    <t xml:space="preserve">Possiblilité de re-envoyé un order confirmation
Traçabilité des commandes splitées sans date cal ni o/c </t>
  </si>
  <si>
    <t>Mention sans marge ou avec marge au moment de la saisie de la date ordo avec calcul automatique de la date cal</t>
  </si>
  <si>
    <t>ergonomie pour réduire les tickets</t>
  </si>
  <si>
    <t>Possibilité de modification type de commande et type échantillonnage par les powers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</si>
</sst>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C]dd\-mmm\-yy;@"/>
  </numFmts>
  <fonts count="21" x14ac:knownFonts="1">
    <font>
      <sz val="11"/>
      <color theme="1"/>
      <name val="Calibri"/>
      <family val="2"/>
      <scheme val="minor"/>
    </font>
    <font>
      <sz val="11"/>
      <color theme="1"/>
      <name val="Frutiger LT 45 Light"/>
      <family val="2"/>
    </font>
    <font>
      <sz val="8"/>
      <name val="Calibri"/>
      <family val="2"/>
      <scheme val="minor"/>
    </font>
    <font>
      <sz val="11"/>
      <color theme="1"/>
      <name val="Calibri"/>
      <family val="2"/>
      <scheme val="minor"/>
    </font>
    <font>
      <sz val="10"/>
      <color theme="1"/>
      <name val="Malgun Gothic"/>
      <family val="2"/>
    </font>
    <font>
      <i/>
      <sz val="11"/>
      <color theme="1"/>
      <name val="Frutiger LT 45 Light"/>
      <family val="2"/>
    </font>
    <font>
      <sz val="10"/>
      <color theme="1"/>
      <name val="Frutiger LT 45 Light"/>
      <family val="2"/>
    </font>
    <font>
      <b/>
      <sz val="11"/>
      <color rgb="FFFF0000"/>
      <name val="Frutiger LT 45 Light"/>
      <family val="2"/>
    </font>
    <font>
      <sz val="11"/>
      <color rgb="FF000000"/>
      <name val="Aptos Narrow"/>
      <family val="2"/>
    </font>
    <font>
      <sz val="13"/>
      <color theme="1"/>
      <name val="Frutiger LT 45 Light"/>
      <family val="2"/>
    </font>
    <font>
      <b/>
      <sz val="11"/>
      <color theme="1"/>
      <name val="Frutiger LT 45 Light"/>
      <family val="2"/>
    </font>
    <font>
      <b/>
      <u/>
      <sz val="11"/>
      <color theme="1"/>
      <name val="Frutiger LT 45 Light"/>
      <family val="2"/>
    </font>
    <font>
      <sz val="10"/>
      <name val="Arial"/>
      <family val="2"/>
    </font>
    <font>
      <sz val="10"/>
      <name val="Frutiger LT 45 Light"/>
      <family val="2"/>
    </font>
    <font>
      <b/>
      <sz val="11"/>
      <name val="Frutiger LT 45 Light"/>
      <family val="2"/>
    </font>
    <font>
      <sz val="11"/>
      <name val="Frutiger LT 45 Light"/>
      <family val="2"/>
    </font>
    <font>
      <sz val="13"/>
      <name val="Frutiger LT 45 Light"/>
      <family val="2"/>
    </font>
    <font>
      <sz val="10"/>
      <name val="Malgun Gothic"/>
      <family val="2"/>
    </font>
    <font>
      <b/>
      <sz val="10"/>
      <name val="Verdana"/>
      <family val="2"/>
    </font>
    <font>
      <sz val="11"/>
      <color rgb="FFFF0000"/>
      <name val="Frutiger LT 45 Light"/>
      <family val="2"/>
    </font>
    <font>
      <b/>
      <sz val="11"/>
      <color theme="1"/>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9" fontId="3" fillId="0" borderId="0" applyFont="0" applyFill="0" applyBorder="0" applyAlignment="0" applyProtection="0"/>
    <xf numFmtId="0" fontId="8" fillId="0" borderId="0"/>
    <xf numFmtId="0" fontId="12" fillId="0" borderId="0"/>
  </cellStyleXfs>
  <cellXfs count="135">
    <xf numFmtId="0" fontId="0" fillId="0" borderId="0" xfId="0"/>
    <xf numFmtId="0" fontId="1" fillId="0" borderId="1" xfId="0" applyFont="1" applyBorder="1" applyAlignment="1">
      <alignment vertical="top" wrapText="1"/>
    </xf>
    <xf numFmtId="0" fontId="0" fillId="0" borderId="0" xfId="0" pivotButton="1"/>
    <xf numFmtId="0" fontId="0" fillId="0" borderId="0" xfId="0" applyAlignment="1">
      <alignment horizontal="left"/>
    </xf>
    <xf numFmtId="0" fontId="1" fillId="3" borderId="1" xfId="0" applyFont="1" applyFill="1" applyBorder="1" applyAlignment="1">
      <alignment vertical="top" wrapText="1"/>
    </xf>
    <xf numFmtId="0" fontId="1"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164" fontId="1" fillId="5"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9" fontId="4" fillId="0" borderId="1" xfId="1" applyFont="1" applyBorder="1" applyAlignment="1">
      <alignment vertical="center" wrapText="1"/>
    </xf>
    <xf numFmtId="9" fontId="6" fillId="0" borderId="0" xfId="0" applyNumberFormat="1" applyFont="1" applyAlignment="1">
      <alignment vertical="center" wrapText="1"/>
    </xf>
    <xf numFmtId="164" fontId="1" fillId="0" borderId="1"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1" fillId="0" borderId="0" xfId="0" applyFont="1" applyAlignment="1">
      <alignment horizontal="center" vertical="center"/>
    </xf>
    <xf numFmtId="164" fontId="1" fillId="3" borderId="1" xfId="0" applyNumberFormat="1" applyFont="1" applyFill="1" applyBorder="1" applyAlignment="1">
      <alignment horizontal="center" vertical="center" wrapText="1"/>
    </xf>
    <xf numFmtId="9" fontId="4" fillId="3" borderId="1" xfId="1" applyFont="1" applyFill="1" applyBorder="1" applyAlignment="1">
      <alignmen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9" fontId="4" fillId="0" borderId="1" xfId="1" applyFont="1" applyFill="1" applyBorder="1" applyAlignment="1">
      <alignment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165" fontId="1" fillId="2" borderId="1" xfId="0" applyNumberFormat="1" applyFont="1" applyFill="1" applyBorder="1" applyAlignment="1">
      <alignment horizontal="center" vertical="center" wrapText="1"/>
    </xf>
    <xf numFmtId="165" fontId="1" fillId="0" borderId="1" xfId="0" applyNumberFormat="1" applyFont="1" applyBorder="1" applyAlignment="1">
      <alignment vertical="center" wrapText="1"/>
    </xf>
    <xf numFmtId="165" fontId="1" fillId="0" borderId="0" xfId="0" applyNumberFormat="1" applyFont="1" applyAlignment="1">
      <alignment vertical="center" wrapText="1"/>
    </xf>
    <xf numFmtId="165" fontId="1" fillId="0" borderId="1" xfId="0" applyNumberFormat="1" applyFont="1" applyBorder="1" applyAlignment="1">
      <alignment horizontal="center" vertical="center" wrapText="1"/>
    </xf>
    <xf numFmtId="16" fontId="1" fillId="0" borderId="1" xfId="0" applyNumberFormat="1" applyFont="1" applyBorder="1" applyAlignment="1">
      <alignment horizontal="center" vertical="center" wrapText="1"/>
    </xf>
    <xf numFmtId="14" fontId="1" fillId="3" borderId="1" xfId="0" applyNumberFormat="1" applyFont="1" applyFill="1" applyBorder="1" applyAlignment="1">
      <alignment horizontal="center" vertical="center" wrapText="1"/>
    </xf>
    <xf numFmtId="16" fontId="1" fillId="3" borderId="1" xfId="0" applyNumberFormat="1" applyFont="1" applyFill="1" applyBorder="1" applyAlignment="1">
      <alignment horizontal="center" vertical="center" wrapText="1"/>
    </xf>
    <xf numFmtId="165" fontId="1" fillId="0" borderId="0" xfId="0" applyNumberFormat="1" applyFont="1" applyAlignment="1">
      <alignment horizontal="center" vertical="center" wrapText="1"/>
    </xf>
    <xf numFmtId="0" fontId="1" fillId="0" borderId="1" xfId="0" quotePrefix="1" applyFont="1" applyBorder="1" applyAlignment="1">
      <alignment vertical="center" wrapText="1"/>
    </xf>
    <xf numFmtId="164" fontId="1" fillId="0" borderId="1" xfId="0" applyNumberFormat="1" applyFont="1" applyBorder="1" applyAlignment="1">
      <alignment vertical="center" wrapText="1"/>
    </xf>
    <xf numFmtId="164" fontId="1" fillId="3" borderId="1" xfId="0" applyNumberFormat="1" applyFont="1" applyFill="1" applyBorder="1" applyAlignment="1">
      <alignment vertical="center" wrapText="1"/>
    </xf>
    <xf numFmtId="0" fontId="1" fillId="0" borderId="0" xfId="0" applyFont="1" applyAlignment="1">
      <alignment vertical="center" wrapText="1"/>
    </xf>
    <xf numFmtId="0" fontId="0" fillId="0" borderId="0" xfId="0" applyAlignment="1">
      <alignment horizontal="left" indent="1"/>
    </xf>
    <xf numFmtId="0" fontId="0" fillId="0" borderId="1" xfId="0" applyBorder="1" applyAlignment="1">
      <alignment vertical="center" wrapText="1"/>
    </xf>
    <xf numFmtId="165" fontId="1" fillId="3" borderId="1" xfId="0" applyNumberFormat="1" applyFont="1" applyFill="1" applyBorder="1" applyAlignment="1">
      <alignment horizontal="center" vertical="center" wrapText="1"/>
    </xf>
    <xf numFmtId="165" fontId="1" fillId="3" borderId="1" xfId="0" applyNumberFormat="1" applyFont="1" applyFill="1" applyBorder="1" applyAlignment="1">
      <alignment vertical="center" wrapText="1"/>
    </xf>
    <xf numFmtId="0" fontId="1" fillId="0" borderId="1" xfId="0" applyFont="1" applyBorder="1" applyAlignment="1">
      <alignment vertical="top"/>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5" fillId="0" borderId="1" xfId="0" applyFont="1" applyBorder="1" applyAlignment="1">
      <alignment horizontal="center" vertical="center" wrapText="1"/>
    </xf>
    <xf numFmtId="164" fontId="15" fillId="0" borderId="1" xfId="0" applyNumberFormat="1" applyFont="1" applyBorder="1" applyAlignment="1">
      <alignment horizontal="center" vertical="center" wrapText="1"/>
    </xf>
    <xf numFmtId="165" fontId="15" fillId="0" borderId="1" xfId="0" applyNumberFormat="1" applyFont="1" applyBorder="1" applyAlignment="1">
      <alignment vertical="center" wrapText="1"/>
    </xf>
    <xf numFmtId="9" fontId="17" fillId="0" borderId="1" xfId="1" applyFont="1" applyBorder="1" applyAlignment="1">
      <alignment vertical="center" wrapText="1"/>
    </xf>
    <xf numFmtId="0" fontId="15" fillId="0" borderId="1" xfId="0" applyFont="1" applyBorder="1" applyAlignment="1">
      <alignment vertical="top" wrapText="1"/>
    </xf>
    <xf numFmtId="1" fontId="18" fillId="0" borderId="0" xfId="0" applyNumberFormat="1" applyFont="1"/>
    <xf numFmtId="164" fontId="0" fillId="0" borderId="0" xfId="0" applyNumberFormat="1"/>
    <xf numFmtId="49" fontId="18" fillId="0" borderId="0" xfId="0" applyNumberFormat="1" applyFont="1"/>
    <xf numFmtId="49" fontId="0" fillId="0" borderId="0" xfId="0" applyNumberFormat="1"/>
    <xf numFmtId="49" fontId="6" fillId="0" borderId="1" xfId="0" applyNumberFormat="1" applyFont="1" applyBorder="1" applyAlignment="1">
      <alignment horizontal="center" vertical="center" wrapText="1"/>
    </xf>
    <xf numFmtId="49" fontId="16" fillId="6" borderId="1" xfId="0" applyNumberFormat="1" applyFont="1" applyFill="1" applyBorder="1" applyAlignment="1">
      <alignment horizontal="center" vertical="center" wrapText="1"/>
    </xf>
    <xf numFmtId="49" fontId="9" fillId="6" borderId="1" xfId="0" applyNumberFormat="1" applyFont="1" applyFill="1" applyBorder="1" applyAlignment="1">
      <alignment horizontal="center" vertical="center" wrapText="1"/>
    </xf>
    <xf numFmtId="49" fontId="1" fillId="6" borderId="1" xfId="0" applyNumberFormat="1" applyFont="1" applyFill="1" applyBorder="1" applyAlignment="1">
      <alignment horizontal="center" vertical="center"/>
    </xf>
    <xf numFmtId="49" fontId="6" fillId="0" borderId="0" xfId="0" applyNumberFormat="1" applyFont="1" applyAlignment="1">
      <alignment horizontal="center" vertical="center"/>
    </xf>
    <xf numFmtId="0" fontId="1" fillId="7"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0" fontId="1" fillId="0" borderId="1" xfId="0" quotePrefix="1" applyFont="1" applyBorder="1" applyAlignment="1">
      <alignment horizontal="left" vertical="center" wrapText="1"/>
    </xf>
    <xf numFmtId="165" fontId="15" fillId="0" borderId="1" xfId="0" applyNumberFormat="1" applyFont="1" applyBorder="1" applyAlignment="1">
      <alignment horizontal="center" vertical="center" wrapText="1"/>
    </xf>
    <xf numFmtId="0" fontId="1" fillId="3" borderId="1" xfId="0" quotePrefix="1" applyFont="1" applyFill="1" applyBorder="1" applyAlignment="1">
      <alignment horizontal="left" vertical="center" wrapText="1"/>
    </xf>
    <xf numFmtId="0" fontId="1" fillId="4" borderId="1" xfId="0" applyFont="1" applyFill="1" applyBorder="1" applyAlignment="1">
      <alignment horizontal="center" vertical="center"/>
    </xf>
    <xf numFmtId="49"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49" fontId="6" fillId="0" borderId="1" xfId="0" applyNumberFormat="1" applyFont="1" applyBorder="1" applyAlignment="1">
      <alignment horizontal="center" vertical="center"/>
    </xf>
    <xf numFmtId="0" fontId="0" fillId="0" borderId="1" xfId="0" applyBorder="1"/>
    <xf numFmtId="15" fontId="4" fillId="0" borderId="1" xfId="1" applyNumberFormat="1" applyFont="1" applyBorder="1" applyAlignment="1">
      <alignment vertical="center" wrapText="1"/>
    </xf>
    <xf numFmtId="0" fontId="20" fillId="0" borderId="1" xfId="0" applyFont="1" applyBorder="1" applyAlignment="1">
      <alignment vertical="center"/>
    </xf>
    <xf numFmtId="0" fontId="1" fillId="4" borderId="1" xfId="0" quotePrefix="1" applyFont="1" applyFill="1" applyBorder="1" applyAlignment="1">
      <alignment horizontal="left" vertical="center" wrapText="1"/>
    </xf>
    <xf numFmtId="0" fontId="1" fillId="0" borderId="2" xfId="0" applyFont="1" applyBorder="1" applyAlignment="1">
      <alignment vertical="top"/>
    </xf>
    <xf numFmtId="0" fontId="1" fillId="0" borderId="2" xfId="0" applyFont="1" applyBorder="1" applyAlignment="1">
      <alignment vertical="top" wrapText="1"/>
    </xf>
    <xf numFmtId="9" fontId="4" fillId="0" borderId="0" xfId="1" applyFont="1" applyBorder="1" applyAlignment="1">
      <alignment vertical="center" wrapText="1"/>
    </xf>
    <xf numFmtId="9" fontId="4" fillId="0" borderId="1" xfId="1" applyFont="1" applyBorder="1" applyAlignment="1">
      <alignment horizontal="center" vertical="center" wrapText="1"/>
    </xf>
    <xf numFmtId="49" fontId="1" fillId="3" borderId="1" xfId="0" applyNumberFormat="1" applyFont="1" applyFill="1" applyBorder="1" applyAlignment="1">
      <alignment horizontal="center" vertical="center"/>
    </xf>
    <xf numFmtId="0" fontId="20" fillId="3" borderId="1" xfId="0" applyFont="1" applyFill="1" applyBorder="1" applyAlignment="1">
      <alignment vertical="center"/>
    </xf>
    <xf numFmtId="49" fontId="1" fillId="0" borderId="1" xfId="0" applyNumberFormat="1" applyFont="1" applyBorder="1" applyAlignment="1">
      <alignment horizontal="center" vertical="center"/>
    </xf>
    <xf numFmtId="0" fontId="1" fillId="2" borderId="1" xfId="0" applyFont="1" applyFill="1" applyBorder="1" applyAlignment="1">
      <alignment horizontal="center" vertical="top" wrapText="1"/>
    </xf>
    <xf numFmtId="9" fontId="4" fillId="0" borderId="0" xfId="1" applyFont="1"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0" fontId="1" fillId="0" borderId="3" xfId="0" applyFont="1" applyBorder="1" applyAlignment="1">
      <alignment horizontal="center" vertical="center"/>
    </xf>
    <xf numFmtId="49" fontId="6"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164" fontId="1" fillId="0" borderId="3"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xf numFmtId="165" fontId="1" fillId="0" borderId="3" xfId="0" applyNumberFormat="1" applyFont="1" applyBorder="1" applyAlignment="1">
      <alignment vertical="center" wrapText="1"/>
    </xf>
    <xf numFmtId="9" fontId="6" fillId="0" borderId="3" xfId="0" applyNumberFormat="1" applyFont="1" applyBorder="1" applyAlignment="1">
      <alignment vertical="center" wrapText="1"/>
    </xf>
    <xf numFmtId="0" fontId="0" fillId="0" borderId="2" xfId="0" applyBorder="1" applyAlignment="1">
      <alignment vertical="center"/>
    </xf>
    <xf numFmtId="0" fontId="1" fillId="0" borderId="2" xfId="0" quotePrefix="1" applyFont="1" applyBorder="1" applyAlignment="1">
      <alignment vertical="center" wrapText="1"/>
    </xf>
    <xf numFmtId="0" fontId="20" fillId="0" borderId="2" xfId="0" applyFont="1" applyBorder="1" applyAlignment="1">
      <alignment vertical="center"/>
    </xf>
    <xf numFmtId="0" fontId="1" fillId="4" borderId="2" xfId="0" quotePrefix="1" applyFont="1" applyFill="1" applyBorder="1" applyAlignment="1">
      <alignment horizontal="left" vertical="center" wrapText="1"/>
    </xf>
    <xf numFmtId="0" fontId="1" fillId="0" borderId="0" xfId="0" applyFont="1" applyBorder="1" applyAlignment="1">
      <alignment vertical="top" wrapText="1"/>
    </xf>
    <xf numFmtId="0" fontId="1" fillId="0" borderId="0" xfId="0" applyFont="1" applyBorder="1" applyAlignment="1">
      <alignment horizontal="center" vertical="top" wrapText="1"/>
    </xf>
    <xf numFmtId="0" fontId="1" fillId="0" borderId="0" xfId="0" applyFont="1" applyBorder="1" applyAlignment="1">
      <alignment vertical="top"/>
    </xf>
    <xf numFmtId="0" fontId="15" fillId="0" borderId="0" xfId="0" applyFont="1" applyBorder="1" applyAlignment="1">
      <alignment vertical="top"/>
    </xf>
    <xf numFmtId="0" fontId="1" fillId="3" borderId="0" xfId="0" applyFont="1" applyFill="1" applyBorder="1" applyAlignment="1">
      <alignment vertical="top"/>
    </xf>
    <xf numFmtId="0" fontId="0" fillId="0" borderId="0" xfId="0" applyBorder="1"/>
    <xf numFmtId="0" fontId="1" fillId="0" borderId="0" xfId="0" applyFont="1" applyBorder="1" applyAlignment="1">
      <alignment horizontal="center" vertical="center" wrapText="1"/>
    </xf>
    <xf numFmtId="164" fontId="1" fillId="0" borderId="0" xfId="0" applyNumberFormat="1" applyFont="1" applyBorder="1" applyAlignment="1">
      <alignment horizontal="center" vertical="center" wrapText="1"/>
    </xf>
    <xf numFmtId="165" fontId="1" fillId="0" borderId="0" xfId="0" applyNumberFormat="1" applyFont="1" applyBorder="1" applyAlignment="1">
      <alignment horizontal="center" vertical="center" wrapText="1"/>
    </xf>
    <xf numFmtId="49" fontId="1" fillId="4" borderId="0" xfId="0" applyNumberFormat="1" applyFont="1" applyFill="1" applyBorder="1" applyAlignment="1">
      <alignment horizontal="center" vertical="center"/>
    </xf>
    <xf numFmtId="0" fontId="1" fillId="4" borderId="0" xfId="0" applyFont="1" applyFill="1" applyBorder="1" applyAlignment="1">
      <alignment horizontal="center" vertical="center" wrapText="1"/>
    </xf>
    <xf numFmtId="0" fontId="1" fillId="0" borderId="0" xfId="0" applyFont="1" applyBorder="1" applyAlignment="1">
      <alignment horizontal="left" vertical="center" wrapText="1"/>
    </xf>
    <xf numFmtId="0" fontId="1" fillId="0" borderId="0" xfId="0" quotePrefix="1" applyFont="1" applyBorder="1" applyAlignment="1">
      <alignment vertical="center" wrapText="1"/>
    </xf>
    <xf numFmtId="0" fontId="1" fillId="4" borderId="0"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0" borderId="2" xfId="0" applyFont="1" applyBorder="1" applyAlignment="1">
      <alignment vertical="center" wrapText="1"/>
    </xf>
    <xf numFmtId="0" fontId="1" fillId="3" borderId="2" xfId="0" applyFont="1" applyFill="1" applyBorder="1" applyAlignment="1">
      <alignment vertical="center" wrapText="1"/>
    </xf>
    <xf numFmtId="0" fontId="1" fillId="3" borderId="2" xfId="0" quotePrefix="1" applyFont="1" applyFill="1" applyBorder="1" applyAlignment="1">
      <alignment vertical="center" wrapText="1"/>
    </xf>
    <xf numFmtId="0" fontId="15" fillId="0" borderId="2" xfId="0" quotePrefix="1" applyFont="1" applyBorder="1" applyAlignment="1">
      <alignment vertical="center" wrapText="1"/>
    </xf>
    <xf numFmtId="0" fontId="1" fillId="0" borderId="2" xfId="0" quotePrefix="1" applyFont="1" applyBorder="1" applyAlignment="1">
      <alignment horizontal="left" vertical="center" wrapText="1"/>
    </xf>
    <xf numFmtId="0" fontId="1" fillId="0" borderId="2" xfId="0" quotePrefix="1" applyFont="1" applyBorder="1" applyAlignment="1">
      <alignment vertical="top" wrapText="1"/>
    </xf>
    <xf numFmtId="0" fontId="19" fillId="0" borderId="2" xfId="0" quotePrefix="1" applyFont="1" applyBorder="1" applyAlignment="1">
      <alignment vertical="top" wrapText="1"/>
    </xf>
    <xf numFmtId="0" fontId="1" fillId="0" borderId="4" xfId="0" quotePrefix="1" applyFont="1" applyBorder="1" applyAlignment="1">
      <alignment vertical="center" wrapText="1"/>
    </xf>
    <xf numFmtId="0" fontId="1" fillId="0" borderId="5" xfId="0" applyFont="1" applyBorder="1" applyAlignment="1">
      <alignment horizontal="center" vertical="center"/>
    </xf>
    <xf numFmtId="49" fontId="6"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164" fontId="1" fillId="0" borderId="5" xfId="0" applyNumberFormat="1" applyFont="1" applyBorder="1" applyAlignment="1">
      <alignment horizontal="center" vertical="center" wrapText="1"/>
    </xf>
    <xf numFmtId="165" fontId="1" fillId="0" borderId="5" xfId="0" applyNumberFormat="1" applyFont="1" applyBorder="1" applyAlignment="1">
      <alignment horizontal="center" vertical="center" wrapText="1"/>
    </xf>
    <xf numFmtId="165" fontId="1" fillId="0" borderId="5" xfId="0" applyNumberFormat="1" applyFont="1" applyBorder="1" applyAlignment="1">
      <alignment vertical="center" wrapText="1"/>
    </xf>
    <xf numFmtId="9" fontId="4" fillId="0" borderId="5" xfId="1" applyFont="1" applyBorder="1" applyAlignment="1">
      <alignment vertical="center" wrapText="1"/>
    </xf>
    <xf numFmtId="0" fontId="1" fillId="0" borderId="6" xfId="0" quotePrefix="1" applyFont="1" applyBorder="1" applyAlignment="1">
      <alignment vertical="center" wrapText="1"/>
    </xf>
    <xf numFmtId="0" fontId="1" fillId="0" borderId="5" xfId="0" applyFont="1" applyBorder="1" applyAlignment="1">
      <alignment vertical="top" wrapText="1"/>
    </xf>
  </cellXfs>
  <cellStyles count="4">
    <cellStyle name="Normal" xfId="0" builtinId="0"/>
    <cellStyle name="Normal 19" xfId="3" xr:uid="{2C9D6B54-4A56-43C4-BA5F-505221D77DF8}"/>
    <cellStyle name="Normal 2" xfId="2" xr:uid="{D1735925-7DED-4B3C-B510-16BA61F10C09}"/>
    <cellStyle name="Pourcentage" xfId="1" builtinId="5"/>
  </cellStyles>
  <dxfs count="3">
    <dxf>
      <numFmt numFmtId="13" formatCode="0%"/>
    </dxf>
    <dxf>
      <numFmt numFmtId="13" formatCode="0%"/>
    </dxf>
    <dxf>
      <numFmt numFmtId="13" formatCode="0%"/>
    </dxf>
  </dxfs>
  <tableStyles count="0" defaultTableStyle="TableStyleMedium2" defaultPivotStyle="PivotStyleLight16"/>
  <colors>
    <mruColors>
      <color rgb="FF90C53F"/>
      <color rgb="FF9090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son RAKOTO" refreshedDate="45922.39522766204" createdVersion="8" refreshedVersion="8" minRefreshableVersion="3" recordCount="186" xr:uid="{EC6F0D40-B3E7-465E-A963-198754BE8E28}">
  <cacheSource type="worksheet">
    <worksheetSource ref="A1:S475" sheet="Projets"/>
  </cacheSource>
  <cacheFields count="19">
    <cacheField name="Unité" numFmtId="0">
      <sharedItems containsBlank="1" count="3">
        <s v="SGL"/>
        <s v="CTN"/>
        <m/>
      </sharedItems>
    </cacheField>
    <cacheField name="Ticket #" numFmtId="0">
      <sharedItems containsBlank="1" containsMixedTypes="1" containsNumber="1" containsInteger="1" minValue="0" maxValue="30636"/>
    </cacheField>
    <cacheField name="#" numFmtId="0">
      <sharedItems containsBlank="1"/>
    </cacheField>
    <cacheField name="Sujet" numFmtId="0">
      <sharedItems containsBlank="1" count="202">
        <s v="Gestion des sports et loisirs du groupe socota"/>
        <s v="Sofab - TT"/>
        <s v="Digitalisation de la visite (priorité visite finie)"/>
        <s v="Implémentation Orgatex a la teinturefil"/>
        <s v="Création automatique de la mise à la saisie de la date ordo"/>
        <s v="Envoi colisage et facture automatiquement (paperless) signature electronique"/>
        <s v="FDS via EXCEL formaté sur Stimulsoft"/>
        <s v="Modélisation prédictive"/>
        <s v="Gestion des finitions mécaniques par commande commerciale"/>
        <s v="Migration FSR vers MVC"/>
        <s v="Migration Sofab MVC + Std de laize"/>
        <s v="New GPAO"/>
        <s v="Digitalisation tableau planning tissage dans PBI"/>
        <s v="Traceability: LC/MO bulk sur GPAO"/>
        <s v="Traceability - Supplier platform"/>
        <s v="Traceability: TC/BCP pour CF et SGL"/>
        <s v="Traceability MCPAT sur GPAO"/>
        <s v="Création automatique de la commande GPAO à partir du booking"/>
        <s v="Migration PLC vers MVC"/>
        <s v="Mail automatique « Waiting FNL » envoyé journalièrement "/>
        <s v="Les saisies des raisons seront obligatoires pour les deux cas pour permettre à des analyses ultérieures. Ecran de saisie des causes de retard FNL"/>
        <s v="Digitalisation tableau planning - Mise à Dispo Data"/>
        <s v="Ecran de saisie / modification des adresses mails clients "/>
        <s v="Commande avec mise (CT, SU, SO) "/>
        <s v="Commande sans mise (HL, LD, RL, RC, BL"/>
        <s v="La traçabilité (date et user) a été ajouté dans la GPAO pour les nouveaux départements "/>
        <s v="Upload FSR en masse depuis fichier Excel dans l'appli"/>
        <s v="Colisage / facturation automatique"/>
        <s v="Integration fichier commande AQL dans GPAO"/>
        <s v="Remise sur choix AB, AR, AL de BRm_x000a_Choix B = 50% automatiquement_x000a_Choix A pas de remise"/>
        <s v="Link AIL -&gt; GPAO (new project)"/>
        <s v="Envoi donnés Gpao vers AQL"/>
        <s v="Création automatique des notes de crédit par rapport à la remise définie par la Qualité"/>
        <s v="Digitalisation de la fiche à minima ==&gt; FSS: Fabric Specification Sheet"/>
        <s v="Digitalisation planning"/>
        <s v="WIP"/>
        <s v="Digitalisation tableau planning - Front End"/>
        <s v="Affectation stocks aux commandes"/>
        <s v="Traçabilité demande de validation_x000a_validation.socota.com  ver 1"/>
        <s v="Verrouillage lot de fils au Planning"/>
        <s v="Solde sampling par le commercial"/>
        <s v="Nouveau choix AR à intégrer dans tous les écrans et extraction GPAO"/>
        <s v="Manufacturing Order (MO)"/>
        <s v="Digitalisation stock IT"/>
        <s v="Ajustement de tous les écrans du projet MO - LC par rapport au lot fournisseur_x000a_"/>
        <s v="Digitalisation ITSR"/>
        <s v="PBI Wet stage"/>
        <s v="LC/MO consultation"/>
        <s v="Batch automatique de génération fichiers pdf facture, Packing list, BT, Test labo"/>
        <s v="Liaison CRP-GPAO"/>
        <s v="LC/MO sampling"/>
        <s v="Transfert affection mise"/>
        <s v="Suivi provision/claim"/>
        <s v="Gestion leakage: verrou à la facturation"/>
        <s v="Retour tissu au Visitage Ecru pour REVISITAGE"/>
        <s v="Lier FSS et SDL"/>
        <s v="Validation  TIAF version 2"/>
        <s v="Gestion des destinataires/copies du mail automatique O/C"/>
        <s v="Integration data biomass sur exce MPF dans DB achats + BI"/>
        <s v="Fiabiliser SDL"/>
        <s v="Suivi Reclammations aux fournisseurs"/>
        <s v="Scanner Barcode MPF"/>
        <s v="Digitalisation des FDS PVH et Petit Bateau"/>
        <s v="Fiche de test LABO report &amp; pdf"/>
        <s v="PO Achat"/>
        <s v="Digitalization inventaire immo"/>
        <s v="SGL PO avec mention &quot;NEW RULE&quot;"/>
        <s v="Solde LC obligatoire même si le métrage n'est pas complet (&lt;86%) et avec causes saisies par le Planning"/>
        <s v="Data WIP en temps réel._x000a_Eviter le batch dans le serveur"/>
        <s v="Règles de gestion SDL"/>
        <s v="WIP planning dans le plateforme"/>
        <s v="Dashboard claim"/>
        <s v="Digitalisation process route avec écran de groupage des EMS approved"/>
        <s v="Gestion des pannes machine par START - STOP"/>
        <s v="Gestion des retards, OTIF par le Planning"/>
        <s v="- Identification de la scission à la visite_x000a_- Donner accès à la visite pour faire la scission de mise avec une autorisation reduite"/>
        <s v="Reconciliation métrage par step de production (par défaut +/- 7%). Verrou à mettre à chaque stade de production"/>
        <s v="Filtre et rang des machines par atelier"/>
        <s v="Cause de la conformité des tissu"/>
        <s v="Scinder le métrage à la visite en trois colonnes:_x000a_- métrage initial avant scission_x000a_- métrage scindé_x000a_- métrage réel (final)"/>
        <s v="Mentionné avec des codes couleurs les wet stage (rouge) et les mises dormant (rouge flash)"/>
        <s v="Création automatique des notes de crédit générée par le Claim validé par LP"/>
        <s v="Identifier la scission à la visite en attente gamme"/>
        <s v="Traitement en temps masqué"/>
        <s v="Digitalisation de la gestion des camionages _x000a_(rendu confectionneur Tana/Abe et grand export)"/>
        <s v="Traceability PO CF dans GPAO"/>
        <s v="Digitalisation étude de faisabilité (commentaire live)"/>
        <s v="Digitalisation fiche lancement commande"/>
        <s v="Circuit de validation des actions (CRUD) sur Booking RESA A"/>
        <s v="Séparer &quot;supplier chemical&quot; et &quot;greige yarn&quot;"/>
        <s v="Delivery history, ajouter le num BL, quantité par livraison"/>
        <s v="Créer interface pour le supplier"/>
        <s v="Envoyer notification que le fournisseur dispose de 3 semaines pour compléter les documents et infos"/>
        <s v="Insérer documents et infos supplier"/>
        <s v="Identifiant supplier fabricant ou revendeur"/>
        <s v="Date d'éxpiration est liée à la livraison"/>
        <s v="Les produits basiques ne possèdent pas de certificat"/>
        <s v="Valider docs et infos"/>
        <s v="Rapport hebdomadaire sur les statuts des commandes"/>
        <s v="Insérer les achats MCPAT dans suppliers chemicals (basic, specifique)"/>
        <s v="Ecran de saisie achat MCPAT pour Cottonline"/>
        <s v="Envoyer alerte ID Card si date expiration - 4 semaines"/>
        <s v="Envoyer alerte ID Card si date expiration - 1 semaine"/>
        <s v="Mettre en place une code de correspondance des produits entre CF et CTL (à paramétrer)"/>
        <s v="Maj plateforme avec les infos de ID card et inversement"/>
        <s v="Ajouter un onglet permettant au fournisseur d'indiquer s'il est supplier ou Manufacturer (case à cocher)"/>
        <s v="Insérer un bouton permettant au fournisseur de supprimer le document attaché (Business license)"/>
        <s v="Ajouter un onglet permettant au fournisseur d'indiquer s'il est supplier ou Manufacturer (choix déroulant)"/>
        <s v="Les lot number et expiration date se duplique en fonction du nombre de lots livrés"/>
        <s v="Insérer un onglet pour attacher le MSDS avec date d'expiration"/>
        <s v="Insérer un bouton permettant au fournisseur de supprimer le document attaché "/>
        <s v="Tous les certificats (GOTS, ZDHC, Oëko-tex, Buesign, Reach) ne s'affichent pas pour les produits basiques"/>
        <s v="Ajouter liste des produits expirés dans onglet &quot;profile&quot;_x000a_Afficher en rouge les certificats expirés"/>
        <s v="Système de solde documents (épuration list plateforme) - Bouton &quot;SEND&quot;"/>
        <s v="Scan washing operation for sample"/>
        <s v="Web service dimo : exportation BI dans DIMO vers CRP"/>
        <s v="Scan issue chemical for sample"/>
        <s v="Scan washing operation for bulk"/>
        <s v="Scan issuing chemical for bulk"/>
        <s v="Modification sur plateforme stock IT"/>
        <s v="Historique de sortie par BI "/>
        <s v="Importation de mise à jour  stock CRP vers DIMO"/>
        <s v="Rework InLine Final"/>
        <s v="Digitalize availability of info for Transaction certificates"/>
        <s v="SL PACKING LIST VALIDATION BY SECURITY "/>
        <s v="Finishing daily dashboard"/>
        <s v="Production Mix Tool"/>
        <s v="Migration SoApp vers MVC"/>
        <s v="Finishing Hourly Packed"/>
        <s v="Evolve MRP / Mc / CP Event interfacing"/>
        <s v="Packing TrimCard project"/>
        <s v="Digitalization of Inbound Courrier/Sample reception"/>
        <s v="Digitalization of Outbound Courier"/>
        <s v="Cutting WIP details management"/>
        <s v="KPIs for customer satisfaction"/>
        <s v="FGWH procedure change"/>
        <s v="GIII SAMPLE TAG"/>
        <s v="Gestion de provision dans Payroll"/>
        <s v="Goods location management in Stores"/>
        <s v="ST 2D barcode"/>
        <s v="Interface CRP/DIMOMAINT"/>
        <s v="Shipment &amp; Export Cost improvement"/>
        <s v="Status Infull per DCPO i/o CRPPO"/>
        <s v="New work contracts"/>
        <s v="Adjustment of CRP to align with CF agreement"/>
        <s v="Discount insertion at GRN stage"/>
        <s v="Quality New Reports"/>
        <s v="Cut ticket Dematerialization"/>
        <s v="Production incentive: Rework criterias change"/>
        <s v="Completed orders in Sewing"/>
        <s v="Purchasing Request Budget control"/>
        <s v="SL Invoice : Security validation "/>
        <s v="Virement goupé WS &amp; Staffs"/>
        <s v="Printing and Embroidery info to Evolve"/>
        <s v="SRS module link with Washing module"/>
        <s v="WIP follow up report"/>
        <s v="Generate data and pdf files for BCI_PCP plateform"/>
        <s v="Link GPAO - CRP"/>
        <s v="Moving FGW from F2 to SG2"/>
        <s v="Creation of view for PBI Customer satisfaction"/>
        <s v="SNAP section efficiency"/>
        <s v="Creation of new fields for PSS requirement and PSS submission date"/>
        <s v="Gestion des produits chimiques par barcode"/>
        <s v="CRITICAL PATH – SAMPLE TNA improvement"/>
        <s v="GENITEM NEW ARCHITECTURE"/>
        <s v="Flux DIMO Maint / CRP"/>
        <s v="Automate GRN entry of CF fabrics in CRP (throught link between GPAO/CRP)"/>
        <s v="Shipment consignment note"/>
        <s v="BO 100360 Management"/>
        <s v="Declaration CNAPS modfication"/>
        <s v="GI ITEM CREATION ON CRP"/>
        <s v="On Time Submission SMV "/>
        <s v="Special Machine management"/>
        <s v="Additional Information on Equipment"/>
        <s v="Issuing part CRP-&gt; dimo"/>
        <s v="Chemicals Issuing time optimization "/>
        <s v="Blocking GRN Fabric Delivered after Finalized Cut"/>
        <s v="Pesage automatique"/>
        <s v="Reasons of Short cut &amp; Leakage Report"/>
        <s v="FOR COSTING REQUEST &amp; SRS AMENDMENTS"/>
        <s v="Reorganisation Sewing"/>
        <s v="Creation Script for transfer Stk auto to BO 29"/>
        <s v="Table / API Dimo pour PBI"/>
        <s v="Washing Output"/>
        <m/>
        <s v="Digitalization of Washing process" u="1"/>
        <s v="SAMPLE ROOM _RFC IMPROVEMENT FOR SAMPLE ROOM REQUEST LIST" u="1"/>
        <s v="Improvement in CRP SL Invoices Module " u="1"/>
        <s v="Request to add age of GRN (of stock) on actual stock report in crp." u="1"/>
        <s v="Digitalization  PRR" u="1"/>
        <s v="SAMPLE TNA for Critical Path project" u="1"/>
        <s v="Finance invoice checking; insertion BL and Tot value" u="1"/>
        <s v="SAMPLE TAGGING FOR other buyers - FBB, GIII, TFG &amp; TCP" u="1"/>
        <s v="SL PACKING LIST VALIDATION BY SECURITY" u="1"/>
        <s v="RFC - SAMPLE TAGGING FOR ORCHESTRA" u="1"/>
        <s v="Digitalization  leave request" u="1"/>
        <s v="Web service dimo : exportation DIMO to CRP" u="1"/>
        <s v="DEBT / EC REPORT TO UPDATE" u="1"/>
        <s v="ORS DIGITALIZATION" u="1"/>
        <s v="Qty Input line to be in inserted in this table &quot;OrdProg_NewRpt_FactoryNew_New&quot; for PBI" u="1"/>
        <s v="Scan issue chemical for bulk" u="1"/>
        <s v="Source of info about Embroidery &amp; Printing imported into FR to be changed to improve accuracy" u="1"/>
      </sharedItems>
    </cacheField>
    <cacheField name="Dept" numFmtId="0">
      <sharedItems containsBlank="1" count="32">
        <s v="SPORT et LOISIR"/>
        <s v="PRO"/>
        <s v="IND"/>
        <s v="CAL"/>
        <s v="IT"/>
        <s v="SUST"/>
        <s v="Sales"/>
        <s v="QUA"/>
        <s v="PLN"/>
        <s v="MPF"/>
        <s v="AMG"/>
        <s v="CTE"/>
        <s v="LOG"/>
        <s v="WASHING"/>
        <m/>
        <s v="ENG"/>
        <s v="QUALITY"/>
        <s v="FIN/STORE"/>
        <s v="FINISHING"/>
        <s v="WORK STUDY"/>
        <s v="MER"/>
        <s v="STO"/>
        <s v="CUT"/>
        <s v="FGWH"/>
        <s v="HRA"/>
        <s v="SMPL"/>
        <s v="FIN"/>
        <s v="QLTY"/>
        <s v="WS"/>
        <s v="SL"/>
        <s v="TIAF"/>
        <s v="WASH" u="1"/>
      </sharedItems>
    </cacheField>
    <cacheField name="Type de Projet" numFmtId="0">
      <sharedItems containsBlank="1"/>
    </cacheField>
    <cacheField name="Plateforme" numFmtId="0">
      <sharedItems containsBlank="1"/>
    </cacheField>
    <cacheField name="Owner IT" numFmtId="0">
      <sharedItems containsBlank="1"/>
    </cacheField>
    <cacheField name="Power user" numFmtId="0">
      <sharedItems containsBlank="1"/>
    </cacheField>
    <cacheField name="prio" numFmtId="0">
      <sharedItems containsBlank="1" containsMixedTypes="1" containsNumber="1" containsInteger="1" minValue="0" maxValue="5" count="10">
        <m/>
        <s v="TBC"/>
        <n v="3"/>
        <n v="1"/>
        <n v="0"/>
        <n v="4"/>
        <n v="5"/>
        <n v="2"/>
        <s v="1a"/>
        <s v="S/by"/>
      </sharedItems>
    </cacheField>
    <cacheField name="Dev Volume" numFmtId="0">
      <sharedItems containsBlank="1"/>
    </cacheField>
    <cacheField name="Deadline" numFmtId="0">
      <sharedItems containsDate="1" containsBlank="1" containsMixedTypes="1" minDate="2024-04-15T00:00:00" maxDate="2025-06-28T00:00:00" count="29">
        <m/>
        <s v="S/BY"/>
        <d v="2025-03-15T00:00:00"/>
        <s v="TBC"/>
        <d v="2025-05-31T00:00:00"/>
        <d v="2024-04-15T00:00:00"/>
        <d v="2024-11-08T00:00:00"/>
        <d v="2024-06-30T00:00:00"/>
        <d v="2024-09-30T00:00:00"/>
        <d v="2024-12-31T00:00:00"/>
        <d v="2025-03-31T00:00:00"/>
        <d v="2024-08-01T00:00:00"/>
        <d v="2025-01-15T00:00:00"/>
        <d v="2025-04-15T00:00:00"/>
        <d v="2024-05-15T00:00:00"/>
        <d v="2025-04-30T00:00:00"/>
        <d v="2025-05-19T00:00:00"/>
        <d v="2025-04-11T00:00:00"/>
        <d v="2025-05-12T00:00:00"/>
        <d v="2024-10-28T00:00:00"/>
        <d v="2025-06-20T00:00:00"/>
        <d v="2025-06-27T00:00:00"/>
        <d v="2025-06-06T00:00:00"/>
        <d v="2025-05-09T00:00:00"/>
        <d v="2025-04-16T00:00:00"/>
        <d v="2025-05-16T00:00:00"/>
        <d v="2025-05-26T00:00:00"/>
        <d v="2025-05-23T00:00:00"/>
        <d v="2024-04-30T00:00:00" u="1"/>
      </sharedItems>
    </cacheField>
    <cacheField name="Status_M1" numFmtId="0">
      <sharedItems containsBlank="1"/>
    </cacheField>
    <cacheField name="Status" numFmtId="0">
      <sharedItems containsBlank="1"/>
    </cacheField>
    <cacheField name="Start _x000a_Date" numFmtId="0">
      <sharedItems containsDate="1" containsBlank="1" containsMixedTypes="1" minDate="2023-09-11T00:00:00" maxDate="2025-08-29T00:00:00"/>
    </cacheField>
    <cacheField name="End Date " numFmtId="0">
      <sharedItems containsDate="1" containsBlank="1" containsMixedTypes="1" minDate="2024-01-09T00:00:00" maxDate="2025-09-06T00:00:00"/>
    </cacheField>
    <cacheField name="% " numFmtId="9">
      <sharedItems containsString="0" containsBlank="1" containsNumber="1" minValue="0" maxValue="1" count="7">
        <n v="0.9"/>
        <n v="0"/>
        <n v="0.3"/>
        <n v="1"/>
        <n v="0.8"/>
        <n v="0.2"/>
        <m/>
      </sharedItems>
    </cacheField>
    <cacheField name="Avancement" numFmtId="0">
      <sharedItems containsBlank="1" longText="1"/>
    </cacheField>
    <cacheField name="Commentair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
  <r>
    <x v="0"/>
    <n v="1"/>
    <s v="SG09"/>
    <x v="0"/>
    <x v="0"/>
    <s v="In house"/>
    <s v="WEB"/>
    <s v="Narindra"/>
    <s v="Régis"/>
    <x v="0"/>
    <m/>
    <x v="0"/>
    <m/>
    <s v="Formation"/>
    <m/>
    <m/>
    <x v="0"/>
    <s v="En attente de formation des responsables par dicipline "/>
    <m/>
  </r>
  <r>
    <x v="1"/>
    <n v="1"/>
    <s v="CF006"/>
    <x v="1"/>
    <x v="1"/>
    <s v="In house"/>
    <s v="GPAO"/>
    <s v="Fetra"/>
    <s v="Rehad"/>
    <x v="1"/>
    <m/>
    <x v="1"/>
    <s v="Waiting RFC"/>
    <s v="Waiting RFC"/>
    <m/>
    <m/>
    <x v="1"/>
    <s v="Thierry en cours de rfc ? Qui renseigne les mots clés ?_x000a_Vu avec Rehad, il va relancer"/>
    <m/>
  </r>
  <r>
    <x v="1"/>
    <n v="1"/>
    <s v="CF023"/>
    <x v="2"/>
    <x v="2"/>
    <s v="In house"/>
    <s v="WEB"/>
    <s v="Angelo"/>
    <s v="Tsiky"/>
    <x v="2"/>
    <m/>
    <x v="1"/>
    <s v="Formation"/>
    <s v="Formation"/>
    <m/>
    <m/>
    <x v="0"/>
    <s v="dev et test OK_x000a_finalisation regle de gestion en cours et ergonomie_x000a_lancer AO et décider oui/non si on va de l'avant_x000a_"/>
    <s v="Attente des règles de gestion de la part de l'équipe qualité pour les modifications_x000a_Application en cours d'utilisation_x000a_*Toujours en attentes de l'équipe qualité pour l'amelioration_x000a__x000a_*Creation build pour test de la version améliorer_x000a_*Bloquer au niveau de Tsiky, il n'a pas encore donnée les règles de gestion de sa part_x000a_*lancement v2 après test iT_x000a_S/BY PO PW"/>
  </r>
  <r>
    <x v="1"/>
    <n v="1"/>
    <s v="CF055"/>
    <x v="3"/>
    <x v="2"/>
    <s v="Out sourced"/>
    <m/>
    <s v="Greg"/>
    <s v="Pascal"/>
    <x v="3"/>
    <m/>
    <x v="1"/>
    <s v="DEV started"/>
    <s v="DEV started"/>
    <m/>
    <m/>
    <x v="2"/>
    <s v="sur ex-machine CFL : ok_x000a_sur machine cotona : attente livraison matériel + venue Technicien S/BY PO Greg"/>
    <m/>
  </r>
  <r>
    <x v="1"/>
    <n v="1"/>
    <s v="CF180"/>
    <x v="4"/>
    <x v="2"/>
    <s v="In house"/>
    <s v="GPAO"/>
    <s v="Jeanne"/>
    <s v="LP"/>
    <x v="4"/>
    <s v="Medium"/>
    <x v="2"/>
    <m/>
    <s v="Debugging"/>
    <m/>
    <m/>
    <x v="0"/>
    <m/>
    <m/>
  </r>
  <r>
    <x v="1"/>
    <m/>
    <s v="CF079"/>
    <x v="5"/>
    <x v="3"/>
    <s v="In house"/>
    <s v="GPAO"/>
    <s v="Fetra"/>
    <s v="Philibert"/>
    <x v="4"/>
    <m/>
    <x v="3"/>
    <s v="Testing"/>
    <s v="Go live"/>
    <m/>
    <d v="2024-04-30T00:00:00"/>
    <x v="3"/>
    <s v="Envoi packing list /facture automatique : synchronisation des données à faire instantanément._x000a_Attente feedabck Hoby cal"/>
    <m/>
  </r>
  <r>
    <x v="1"/>
    <n v="1"/>
    <s v="CF185"/>
    <x v="6"/>
    <x v="2"/>
    <s v="In house"/>
    <m/>
    <s v="Jeanne"/>
    <s v="LP"/>
    <x v="4"/>
    <s v="High"/>
    <x v="4"/>
    <m/>
    <s v="DEV started"/>
    <d v="2025-05-14T00:00:00"/>
    <m/>
    <x v="2"/>
    <s v="ORVIS_x000a_FULL BEAUTY_x000a_BROOKS_x000a_J.CREW_x000a_PETIT BATEAU"/>
    <m/>
  </r>
  <r>
    <x v="1"/>
    <n v="1"/>
    <s v="CF095"/>
    <x v="7"/>
    <x v="2"/>
    <m/>
    <m/>
    <s v="Greg"/>
    <s v="Pascal"/>
    <x v="5"/>
    <m/>
    <x v="1"/>
    <s v="Waiting RFC"/>
    <s v="Waiting RFC"/>
    <m/>
    <m/>
    <x v="1"/>
    <s v="stand by"/>
    <m/>
  </r>
  <r>
    <x v="1"/>
    <n v="1"/>
    <s v="CF192"/>
    <x v="8"/>
    <x v="2"/>
    <s v="In house"/>
    <s v="GPAO"/>
    <s v="Jeanne"/>
    <s v="LP"/>
    <x v="4"/>
    <s v="High"/>
    <x v="0"/>
    <m/>
    <s v="DEV started"/>
    <m/>
    <m/>
    <x v="2"/>
    <m/>
    <m/>
  </r>
  <r>
    <x v="1"/>
    <n v="1"/>
    <s v="CF106"/>
    <x v="9"/>
    <x v="4"/>
    <s v="In house"/>
    <s v="WEB"/>
    <s v="Fetra"/>
    <s v="Jeanne"/>
    <x v="0"/>
    <s v="High"/>
    <x v="3"/>
    <s v="DEV started"/>
    <s v="Go live"/>
    <m/>
    <s v="15-Apr"/>
    <x v="3"/>
    <s v="- Flow (100%)_x000a_- Create(100%)_x000a_- Update (100%)_x000a_- Mail administration (100%)_x000a_- Reporting (100%)"/>
    <m/>
  </r>
  <r>
    <x v="1"/>
    <m/>
    <s v="CF107"/>
    <x v="10"/>
    <x v="4"/>
    <s v="In house"/>
    <s v="WEB"/>
    <s v="Fetra"/>
    <s v="Jeanne"/>
    <x v="0"/>
    <s v="High"/>
    <x v="3"/>
    <s v="DEV started"/>
    <s v="Go live"/>
    <m/>
    <s v="15-Apr"/>
    <x v="3"/>
    <m/>
    <m/>
  </r>
  <r>
    <x v="1"/>
    <n v="1"/>
    <s v="CF123"/>
    <x v="11"/>
    <x v="2"/>
    <m/>
    <m/>
    <s v="Greg"/>
    <s v="Pascal + team"/>
    <x v="2"/>
    <m/>
    <x v="1"/>
    <s v="Waiting RFC"/>
    <s v="Waiting RFC"/>
    <m/>
    <m/>
    <x v="1"/>
    <s v="Pascal : Donner synoptique GPAO (visio) _x000a_Greg : Organisation appel d'offre ( en cours)_x000a_  Datatex :  premiere session demo faite. Evalution budget reçue._x000a_  Solin : a organiser_x000a_  troisieme editeur : ?        "/>
    <m/>
  </r>
  <r>
    <x v="1"/>
    <n v="1"/>
    <s v="CF126"/>
    <x v="12"/>
    <x v="2"/>
    <m/>
    <m/>
    <s v="Greg"/>
    <s v="Salohy"/>
    <x v="6"/>
    <m/>
    <x v="1"/>
    <s v="Waiting RFC"/>
    <s v="Waiting RFC"/>
    <m/>
    <m/>
    <x v="1"/>
    <s v="voir pbi cfl existant S/BY PO Shakil"/>
    <m/>
  </r>
  <r>
    <x v="1"/>
    <n v="1"/>
    <s v="CF127a"/>
    <x v="13"/>
    <x v="2"/>
    <s v="In house"/>
    <s v="GPAO"/>
    <s v="Jeanne"/>
    <s v="Shakil"/>
    <x v="4"/>
    <m/>
    <x v="3"/>
    <s v="Go live"/>
    <s v="Go live"/>
    <m/>
    <d v="2024-05-30T00:00:00"/>
    <x v="3"/>
    <s v="LC/MO par lot fournisseur:_x000a_. Allocation fils par lot fournisseur (100%)_x000a_. Mise à jour des stocks fils existant par rapport au lot fournisseur (100%)_x000a_. Mise à jour des écrans LC/MO par lot fournisseur (100%(_x000a_. Destockage fil par lot fournisseur (100%)"/>
    <m/>
  </r>
  <r>
    <x v="1"/>
    <n v="1"/>
    <s v="CF127b"/>
    <x v="14"/>
    <x v="5"/>
    <s v="In house"/>
    <s v="GPAO"/>
    <s v="Fetra"/>
    <s v="LP"/>
    <x v="4"/>
    <m/>
    <x v="3"/>
    <s v="Testing"/>
    <s v="Go live"/>
    <m/>
    <d v="2024-05-15T00:00:00"/>
    <x v="3"/>
    <s v="- Supplier Profile (100%)_x000a_- OCS|GOTS expiration control daily + send mail (100%)_x000a_- PO's master=&gt; details (100%)_x000a_- Add login after test (100%)"/>
    <m/>
  </r>
  <r>
    <x v="1"/>
    <n v="1"/>
    <s v="CF127c"/>
    <x v="15"/>
    <x v="5"/>
    <s v="In house"/>
    <s v="WEB"/>
    <s v="Jeanne/_x000a_Fetra"/>
    <s v="LP"/>
    <x v="4"/>
    <m/>
    <x v="5"/>
    <s v="DEV started"/>
    <s v="Go live"/>
    <m/>
    <d v="2024-05-15T00:00:00"/>
    <x v="3"/>
    <s v="1- COTONA FABRICS: _x000a_masse balance BCI (100%)_x000a_TC organique (100%)_x000a__x000a_. Liaison CRP =&gt; GPAO avec verrou et affichage automatique des données de SGL (100%)_x000a_. Affichage BO SGL dans colisage, facturation, Livraison (100%)_x000a_. Affichage des données Supplier (100%)_x000a_. Download infos &amp; Docs pdf_x000a_. Download data Suppliers (100%)_x000a_. TC result (100%)_x000a_. Filtre par: All/waiting BCI/waiting OCS GOTS/waiting TC receipt (100%)_x000a_. Enregistrement PO CLient CF dans le serveur avec verrou cal (100%)_x000a_. Fiche des resultats test LABO en report &amp; pdf dans le serveur avec verrou au Labo (100%)_x000a_. Download auto des proofs of payments dans le plateforme (100%)_x000a_. Download auto de la fiche à minima dans le plateforme (100%)_x000a__x000a_2- SOCOTA GARMENTS:_x000a_BCI (100%)_x000a_TC (100%)_x000a_. Download infos &amp; Docs pdf (100%)"/>
    <m/>
  </r>
  <r>
    <x v="1"/>
    <n v="1"/>
    <s v="CF127d"/>
    <x v="16"/>
    <x v="2"/>
    <s v="In house"/>
    <s v="GPAO"/>
    <s v="Jeanne"/>
    <s v="Shakil"/>
    <x v="7"/>
    <m/>
    <x v="3"/>
    <s v="DEV started"/>
    <s v="Go live"/>
    <m/>
    <d v="2024-06-30T00:00:00"/>
    <x v="3"/>
    <s v=". Données ID CARD vers GPAO (100%)_x000a_. Mise à jour des MCPAT actif/non actif (100%)_x000a_. Verrou validation bon uniquement pour les MCPAT actifs (100%)_x000a_. Substitition MCPAT (100%)_x000a_. Verrou création bon de droguerie uniquement pour les MCPAT actifs (100%)_x000a_. Création recette dans GPAO pour les MCPAT actifs uniquement (100%)_x000a_. Verrou saisie de production sans bon de droguerie validé (100%)_x000a_Attente feedback users (Roger)_x000a_- MCPAT:_x000a_      .Yarn dyeing 60%_x000a_      .Weaving 100%_x000a_      .At. Blanc 100%_x000a_      .Teinture 100%_x000a_      .Impression 100%_x000a_      .Digital Print 100%_x000a_      .Finishing 100%"/>
    <m/>
  </r>
  <r>
    <x v="1"/>
    <n v="1"/>
    <s v="CF193"/>
    <x v="17"/>
    <x v="3"/>
    <s v="In house"/>
    <s v="WEB"/>
    <s v="Jeanne"/>
    <s v="Phil"/>
    <x v="4"/>
    <s v="High"/>
    <x v="0"/>
    <m/>
    <s v="Waiting RFC"/>
    <m/>
    <m/>
    <x v="1"/>
    <m/>
    <m/>
  </r>
  <r>
    <x v="1"/>
    <n v="1"/>
    <s v="CF133"/>
    <x v="18"/>
    <x v="4"/>
    <s v="In house"/>
    <s v="WEB"/>
    <s v="Fetra"/>
    <s v="Jeanne"/>
    <x v="0"/>
    <s v="High"/>
    <x v="3"/>
    <s v="Testing"/>
    <s v="Debugging"/>
    <m/>
    <m/>
    <x v="0"/>
    <s v="Fusion du projet vers le portail MVC (100%)"/>
    <s v="*une grande difference au niveau reporting entre vs2015 et vs 2022 _x000a_*Amelioration des recherches et filtres pour eviter la lenteur au niveau cahrgement des pages _x000a_*Solution trouver pour l'adaptation entre les 2 versions_x000a_*Correction et mis au point PLC avant mis en production_x000a_*Correction et ajustement vis à vis de plc actuel _x000a_*Verification et test avant mis en production"/>
  </r>
  <r>
    <x v="1"/>
    <n v="1"/>
    <s v="CF134"/>
    <x v="19"/>
    <x v="3"/>
    <s v="In house"/>
    <s v="GPAO"/>
    <s v="Jeanne"/>
    <s v="DB"/>
    <x v="0"/>
    <m/>
    <x v="6"/>
    <m/>
    <s v="Go live"/>
    <d v="2024-11-04T00:00:00"/>
    <d v="2024-11-06T00:00:00"/>
    <x v="3"/>
    <m/>
    <m/>
  </r>
  <r>
    <x v="1"/>
    <n v="1"/>
    <s v="CF135"/>
    <x v="20"/>
    <x v="3"/>
    <s v="In house"/>
    <s v="GPAO"/>
    <s v="Jeanne"/>
    <s v="DB"/>
    <x v="0"/>
    <m/>
    <x v="6"/>
    <m/>
    <s v="Go live"/>
    <d v="2024-11-04T00:00:00"/>
    <d v="2024-11-06T00:00:00"/>
    <x v="3"/>
    <m/>
    <m/>
  </r>
  <r>
    <x v="1"/>
    <n v="1"/>
    <s v="CF136"/>
    <x v="21"/>
    <x v="2"/>
    <s v="In house"/>
    <s v="GPAO"/>
    <s v="Jeanne"/>
    <s v="Shakil"/>
    <x v="3"/>
    <m/>
    <x v="1"/>
    <s v="DEV started"/>
    <s v="DEV started"/>
    <d v="2023-09-11T00:00:00"/>
    <m/>
    <x v="2"/>
    <s v="- Affichage automatique des LCs par rapport à la date ordo en fonction de la longueur, vitesse et rendement par metier_x000a_- Drop and drag des bandelettes_x000a_- Alerte si LC est en retard_x000a_- Indication du status de chaque LC (planifié, sized, dyed, weaving)_x000a_S/BY PO Shakil"/>
    <m/>
  </r>
  <r>
    <x v="1"/>
    <n v="1"/>
    <s v="CF136"/>
    <x v="22"/>
    <x v="3"/>
    <s v="In house"/>
    <s v="GPAO"/>
    <s v="Jeanne"/>
    <s v="DB"/>
    <x v="0"/>
    <m/>
    <x v="6"/>
    <m/>
    <s v="Go live"/>
    <d v="2024-11-04T00:00:00"/>
    <d v="2024-11-06T00:00:00"/>
    <x v="3"/>
    <s v="Nous allons créer une base des données des contacts emails de nos clients par contremarque et département. Lesquels seront pris par le système lors de l’envoi de l’alerte aux clients."/>
    <m/>
  </r>
  <r>
    <x v="1"/>
    <n v="1"/>
    <s v="CF137"/>
    <x v="23"/>
    <x v="2"/>
    <s v="In house"/>
    <s v="GPAO"/>
    <s v="Jeanne"/>
    <s v="VA"/>
    <x v="4"/>
    <m/>
    <x v="0"/>
    <m/>
    <s v="Go live"/>
    <d v="2024-11-29T00:00:00"/>
    <m/>
    <x v="3"/>
    <s v="• Les commandes avec mise seront soldées automatiquement au moment du solde de la mise._x000a_• Une alerte sera envoyée au créateur du FSR lorsque la mise est soldée._x000a_• Si le ou les A4 ne sont pas reçus au moment du solde de la mise, le commercial coche la case « A4 pas encore reçu ». A leur réception, les commerciaux saisissent la date de réception dans la GPAO. _x000a_Ces dates seront utilisées pour les analyses futures._x000a_• Un mail automatique journalier sera envoyé aux commerciaux et à l’équipe Service Produit pour les attentes A4."/>
    <m/>
  </r>
  <r>
    <x v="1"/>
    <n v="1"/>
    <s v="CF138"/>
    <x v="24"/>
    <x v="2"/>
    <s v="In house"/>
    <s v="GPAO"/>
    <s v="Jeanne"/>
    <s v="VA"/>
    <x v="4"/>
    <m/>
    <x v="0"/>
    <m/>
    <s v="Go live"/>
    <d v="2024-11-29T00:00:00"/>
    <m/>
    <x v="3"/>
    <s v="• Le Service Produit indique, dans la GPAO, la date de la disponibilité des échantillons avec une alerte mail automatique au commercial._x000a_• Cela bascule automatiquement les informations relatives à cette commande d’échantillonnage dans l’écran prévu pour les commerciaux._x000a_• Quand tous les paramètres à l’échantillon/développement sont reçus par les commerciaux, ils doivent solder immédiatement la commande échantillonnage en saisissant le mot « COMPLETE » au champ réservé et intitulé « Status ». La date solde générée par le système correspond à la date de réception de l’échantillon/développement._x000a_• Sinon le commercial retourne les échantillons/développements au Service Produit et mettre « RETURN » dans la champ « Status » en choisissant la cause du retour (menu déroulant : spectro not received, file not complete, …)._x000a_• Un mail automatique journalier sera envoyé aux commerciaux et à l’équipe Service Produit pour alerter les commandes attentes solde avec le nombre de jour d’attente."/>
    <m/>
  </r>
  <r>
    <x v="1"/>
    <n v="1"/>
    <s v="CF139"/>
    <x v="25"/>
    <x v="3"/>
    <s v="In house"/>
    <s v="GPAO"/>
    <s v="Jeanne"/>
    <s v="VA"/>
    <x v="4"/>
    <m/>
    <x v="0"/>
    <m/>
    <s v="Go live"/>
    <d v="2024-11-26T00:00:00"/>
    <m/>
    <x v="3"/>
    <m/>
    <m/>
  </r>
  <r>
    <x v="1"/>
    <n v="1"/>
    <s v="CF140"/>
    <x v="26"/>
    <x v="6"/>
    <m/>
    <m/>
    <s v="Fetra"/>
    <s v="Tiana"/>
    <x v="3"/>
    <m/>
    <x v="1"/>
    <s v="Waiting RFC"/>
    <s v="Waiting RFC"/>
    <m/>
    <m/>
    <x v="1"/>
    <s v="- Création matrice d'import des FSR_x000a_- Rajout fonctionnalité dans FSR pour Tanà seulement_x000a_- Application des règles avant upload dans la BDD_x000a_- Formation utilisateur_x000a_(voir pour creation a partir de template) S/BY PO Greg"/>
    <m/>
  </r>
  <r>
    <x v="1"/>
    <n v="1"/>
    <s v="CF140"/>
    <x v="27"/>
    <x v="3"/>
    <s v="In house"/>
    <s v="GPAO"/>
    <s v="Jeanne"/>
    <s v="Phil"/>
    <x v="4"/>
    <m/>
    <x v="0"/>
    <m/>
    <s v="Go live"/>
    <d v="2024-12-16T00:00:00"/>
    <d v="2025-01-10T00:00:00"/>
    <x v="3"/>
    <m/>
    <m/>
  </r>
  <r>
    <x v="1"/>
    <n v="1"/>
    <s v="CF141"/>
    <x v="28"/>
    <x v="3"/>
    <s v="In house"/>
    <s v="GPAO"/>
    <s v="Jackson"/>
    <s v="AQL/Dilshad"/>
    <x v="4"/>
    <m/>
    <x v="7"/>
    <s v="Waiting RFC"/>
    <s v="Go live"/>
    <m/>
    <d v="2024-10-15T00:00:00"/>
    <x v="3"/>
    <s v="- Definition  workflow (Ashwen) - OK_x000a_- Defintion du dossier paratgé (sharepoint) - OK_x000a_- Envoi Fichier JSON pour test (Ashwen)  - OK_x000a_- Generation auto JSON dans Sharepoint(Krishna) - OK_x000a_- JSON Parsing code (Fetra)- OK_x000a_- Jackson ask to add Retailer, batch number in JSON file (Krishna) - OK"/>
    <m/>
  </r>
  <r>
    <x v="1"/>
    <n v="1"/>
    <s v="CF141"/>
    <x v="29"/>
    <x v="2"/>
    <s v="In house"/>
    <s v="GPAO"/>
    <s v="Jeanne"/>
    <s v="BRm"/>
    <x v="4"/>
    <m/>
    <x v="0"/>
    <m/>
    <s v="Go live"/>
    <d v="2024-12-08T00:00:00"/>
    <d v="2024-12-30T00:00:00"/>
    <x v="3"/>
    <m/>
    <m/>
  </r>
  <r>
    <x v="1"/>
    <n v="1"/>
    <s v="CF141bis"/>
    <x v="30"/>
    <x v="3"/>
    <s v="In house"/>
    <s v="GPAO"/>
    <s v="Jeanne"/>
    <s v="Dilshad"/>
    <x v="4"/>
    <m/>
    <x v="8"/>
    <m/>
    <s v="Go live"/>
    <m/>
    <d v="2024-06-30T00:00:00"/>
    <x v="3"/>
    <s v="- Ajout nouvel champ clé soit mise (bulk) ou PO GPAO (CT) dans WFX (100%)_x000a_- Update batch JSON (100%)_x000a_- Récuperation automatique des données GPAO à partir de ce champ clé (100%)_x000a_- Dev Création automatique de la commande GPAO AIL (100%)"/>
    <m/>
  </r>
  <r>
    <x v="1"/>
    <n v="1"/>
    <s v="CF142"/>
    <x v="31"/>
    <x v="3"/>
    <s v="In house"/>
    <s v="GPAO"/>
    <s v="Jackson"/>
    <s v="AQL/Dilshad"/>
    <x v="4"/>
    <s v="Low"/>
    <x v="3"/>
    <s v="Waiting RFC"/>
    <s v="Formation"/>
    <m/>
    <m/>
    <x v="0"/>
    <s v="Attente Feedback Ashwen sur relance du 31/10/24_x000a_Ashwen à dit que l'interface est actuellement géré par IA sur la base des Fichier  packing list XLS et PDF de CTN 31/08/2025"/>
    <m/>
  </r>
  <r>
    <x v="1"/>
    <n v="1"/>
    <s v="CF142"/>
    <x v="32"/>
    <x v="3"/>
    <s v="In house"/>
    <s v="GPAO"/>
    <s v="Jeanne"/>
    <s v="Phil"/>
    <x v="3"/>
    <m/>
    <x v="0"/>
    <m/>
    <s v="Go live"/>
    <d v="2024-12-08T00:00:00"/>
    <d v="2025-01-07T00:00:00"/>
    <x v="3"/>
    <m/>
    <m/>
  </r>
  <r>
    <x v="1"/>
    <n v="1"/>
    <s v="CF143"/>
    <x v="33"/>
    <x v="7"/>
    <s v="In house"/>
    <s v="GPAO"/>
    <s v="Jeanne"/>
    <s v="VA"/>
    <x v="4"/>
    <s v="Medium"/>
    <x v="9"/>
    <s v="Waiting RFC"/>
    <s v="Go live"/>
    <m/>
    <d v="2025-06-12T00:00:00"/>
    <x v="3"/>
    <s v="- Automatisation résultat labo par rapport aux requirements (5%)_x000a_- Ajouter dans le plateforme FSR la mention obligatoire &quot;Besoin FSS O/N ?&quot; + alerte vers le Labo_x000a_- Un écran GPAO pour afficher la liste des waiting FSS _x000a_Et un cochage quand le FSS sera dispo + alerte vers le créateur du FSR_x000a_- Afficher les blacklists dans la plateforme + export to EXCEL_x000a_- Mail automatique dès qu'un article a été basculé en blacklist_x000a_- Faire les FSS et audit SDL pour les 30 articles en best sellers_x000a_- Digitalisation de la génération FSS (provisoire &amp; définitif) en pdf avec sauvegarde automatique dans le serveur_x000a_- Fichier excel avec les règles pour Checkers / TBI / Everlane_x000a_- Liste des « type de garments » – ajuster la liste avec mapping avant après _x000a_- Ajout des tests inexistants dans GPAO (100%)_x000a_- Report FSS (provisional &amp; definitive) 100%_x000a_- Regenerate top 30 best sellers FSS_x000a_- Data CF commitments =&gt; Revalider fichier Excel requirement + upload_x000a_- Format standard FDS_x000a_- Le resultat du test (pass/fail) est calculé par le système et non modifiable =&gt; Revoir la formule PASS/FAIL dans test result"/>
    <m/>
  </r>
  <r>
    <x v="1"/>
    <n v="1"/>
    <s v="CF143"/>
    <x v="34"/>
    <x v="2"/>
    <s v="In house"/>
    <s v="GPAO"/>
    <s v="Jeanne"/>
    <s v="LP"/>
    <x v="4"/>
    <s v="Medium"/>
    <x v="10"/>
    <m/>
    <s v="Go live"/>
    <m/>
    <d v="2025-08-08T00:00:00"/>
    <x v="3"/>
    <s v="- Ecrans (02) de lancement_x000a_- Ecran de planification atelier"/>
    <m/>
  </r>
  <r>
    <x v="1"/>
    <n v="1"/>
    <s v="CF144"/>
    <x v="35"/>
    <x v="2"/>
    <s v="In house"/>
    <s v="WEB"/>
    <s v="Jeanne"/>
    <s v="LP"/>
    <x v="4"/>
    <s v="Medium"/>
    <x v="10"/>
    <m/>
    <s v="Go live"/>
    <m/>
    <d v="2025-08-18T00:00:00"/>
    <x v="3"/>
    <s v="- Circuit par mise_x000a_- Liste des mises par machine_x000a_- WIP planning"/>
    <m/>
  </r>
  <r>
    <x v="1"/>
    <n v="1"/>
    <s v="CF155"/>
    <x v="36"/>
    <x v="8"/>
    <s v="In house"/>
    <s v="WEB"/>
    <s v="Angelo"/>
    <m/>
    <x v="0"/>
    <m/>
    <x v="1"/>
    <s v="Waiting RFC"/>
    <s v="Waiting RFC"/>
    <d v="2023-10-09T00:00:00"/>
    <m/>
    <x v="1"/>
    <s v="Attente filtre avant de test en prod S/BY PO Shakil"/>
    <s v="reprendre l'application aaprès remarque de Shakil, correction à faire"/>
  </r>
  <r>
    <x v="1"/>
    <n v="1"/>
    <s v="CF157"/>
    <x v="37"/>
    <x v="3"/>
    <s v="In house"/>
    <s v="GPAO"/>
    <s v="Jeanne"/>
    <s v="Phil"/>
    <x v="4"/>
    <m/>
    <x v="3"/>
    <s v="RFC approved"/>
    <s v="Go live"/>
    <m/>
    <d v="2024-06-30T00:00:00"/>
    <x v="3"/>
    <s v="Message à activer si tissu dispo en stock (choix A / AB / AR). La réservaton du stock qu'aura fait le merch déclenchera la déduction du métrage en stock du métrage commandé"/>
    <m/>
  </r>
  <r>
    <x v="1"/>
    <n v="1"/>
    <s v="CF162"/>
    <x v="38"/>
    <x v="2"/>
    <s v="In house"/>
    <s v="WEB"/>
    <s v="Angelo"/>
    <s v="Lovin"/>
    <x v="0"/>
    <m/>
    <x v="0"/>
    <s v="Go live"/>
    <s v="Go live"/>
    <d v="2023-11-17T00:00:00"/>
    <d v="2024-03-18T00:00:00"/>
    <x v="3"/>
    <m/>
    <m/>
  </r>
  <r>
    <x v="1"/>
    <n v="1"/>
    <s v="CF167"/>
    <x v="39"/>
    <x v="2"/>
    <s v="In house"/>
    <s v="GPAO"/>
    <s v="Jeanne"/>
    <s v="Shakil"/>
    <x v="0"/>
    <m/>
    <x v="0"/>
    <s v="Go live"/>
    <s v="Go live"/>
    <m/>
    <d v="2024-01-09T00:00:00"/>
    <x v="3"/>
    <m/>
    <m/>
  </r>
  <r>
    <x v="1"/>
    <n v="1"/>
    <s v="CF168"/>
    <x v="40"/>
    <x v="3"/>
    <s v="In house"/>
    <s v="GPAO"/>
    <s v="Jeanne"/>
    <s v="Dilshad"/>
    <x v="0"/>
    <m/>
    <x v="0"/>
    <s v="Go live"/>
    <s v="Go live"/>
    <m/>
    <d v="2024-03-01T00:00:00"/>
    <x v="3"/>
    <m/>
    <m/>
  </r>
  <r>
    <x v="1"/>
    <n v="1"/>
    <s v="CF169"/>
    <x v="41"/>
    <x v="2"/>
    <s v="In house"/>
    <s v="GPAO"/>
    <s v="Jeanne"/>
    <s v="Ony"/>
    <x v="0"/>
    <m/>
    <x v="0"/>
    <s v="Go live"/>
    <s v="Go live"/>
    <m/>
    <d v="2024-02-02T00:00:00"/>
    <x v="3"/>
    <m/>
    <m/>
  </r>
  <r>
    <x v="1"/>
    <n v="1"/>
    <s v="CF170"/>
    <x v="42"/>
    <x v="2"/>
    <s v="In house"/>
    <s v="GPAO"/>
    <s v="Jeanne"/>
    <s v="Shakil"/>
    <x v="0"/>
    <m/>
    <x v="0"/>
    <s v="Go live"/>
    <s v="Go live"/>
    <m/>
    <d v="2024-02-16T00:00:00"/>
    <x v="3"/>
    <m/>
    <m/>
  </r>
  <r>
    <x v="1"/>
    <n v="1"/>
    <s v="CF171"/>
    <x v="43"/>
    <x v="4"/>
    <s v="In house"/>
    <s v="WEB"/>
    <s v="Narindra"/>
    <s v="Dani"/>
    <x v="0"/>
    <m/>
    <x v="3"/>
    <s v="Testing"/>
    <s v="Go live"/>
    <d v="2024-01-15T00:00:00"/>
    <m/>
    <x v="3"/>
    <m/>
    <m/>
  </r>
  <r>
    <x v="1"/>
    <n v="1"/>
    <s v="CF172"/>
    <x v="44"/>
    <x v="2"/>
    <s v="In house"/>
    <s v="GPAO"/>
    <s v="Jeanne"/>
    <s v="Shakil"/>
    <x v="4"/>
    <m/>
    <x v="1"/>
    <s v="Waiting RFC"/>
    <s v="Go live"/>
    <d v="2024-02-26T00:00:00"/>
    <d v="2024-05-30T00:00:00"/>
    <x v="3"/>
    <m/>
    <m/>
  </r>
  <r>
    <x v="1"/>
    <n v="1"/>
    <s v="CF172"/>
    <x v="45"/>
    <x v="4"/>
    <s v="In house"/>
    <s v="WEB"/>
    <s v="Narindra"/>
    <s v="Dani"/>
    <x v="0"/>
    <m/>
    <x v="3"/>
    <s v="Testing"/>
    <s v="Go live"/>
    <d v="2024-01-15T00:00:00"/>
    <m/>
    <x v="3"/>
    <m/>
    <m/>
  </r>
  <r>
    <x v="1"/>
    <n v="1"/>
    <s v="CF173"/>
    <x v="46"/>
    <x v="2"/>
    <s v="In house"/>
    <s v="PBI"/>
    <s v="Jeanne"/>
    <s v="LP"/>
    <x v="0"/>
    <m/>
    <x v="0"/>
    <s v="Go live"/>
    <s v="Go live"/>
    <m/>
    <d v="2024-03-15T00:00:00"/>
    <x v="3"/>
    <m/>
    <m/>
  </r>
  <r>
    <x v="1"/>
    <n v="1"/>
    <s v="CF174"/>
    <x v="47"/>
    <x v="2"/>
    <s v="In house"/>
    <s v="GPAO"/>
    <s v="Jeanne"/>
    <s v="Shakil"/>
    <x v="0"/>
    <m/>
    <x v="0"/>
    <s v="Go live"/>
    <s v="Go live"/>
    <m/>
    <d v="2024-02-29T00:00:00"/>
    <x v="3"/>
    <m/>
    <m/>
  </r>
  <r>
    <x v="1"/>
    <n v="1"/>
    <s v="CF175"/>
    <x v="48"/>
    <x v="2"/>
    <s v="In house"/>
    <s v="GPAO"/>
    <s v="Jeanne"/>
    <s v="Jeanne"/>
    <x v="4"/>
    <m/>
    <x v="0"/>
    <m/>
    <s v="Go live"/>
    <m/>
    <d v="2024-06-30T00:00:00"/>
    <x v="3"/>
    <m/>
    <m/>
  </r>
  <r>
    <x v="1"/>
    <n v="1"/>
    <s v="CF175"/>
    <x v="49"/>
    <x v="3"/>
    <s v="In house"/>
    <s v="GPAO"/>
    <s v="Jeanne"/>
    <s v="SL"/>
    <x v="3"/>
    <m/>
    <x v="3"/>
    <s v="Waiting RFC"/>
    <s v="Go live"/>
    <m/>
    <d v="2024-05-24T00:00:00"/>
    <x v="3"/>
    <s v="- Etat des lieux  OK_x000a_-  RFC  TC validée par   Sanjeev_x000a_- Ajout Champ de liaison CRP dans la ligne de commande GPAO_x000a_- Import auto des BO_LIST de CRP dans GPAO pour restreindre la saisie (contre marque - dept - saision, Besoin Certificat)"/>
    <m/>
  </r>
  <r>
    <x v="1"/>
    <n v="1"/>
    <s v="CF175"/>
    <x v="50"/>
    <x v="2"/>
    <s v="In house"/>
    <s v="GPAO"/>
    <s v="Jeanne"/>
    <s v="Rehad"/>
    <x v="1"/>
    <m/>
    <x v="3"/>
    <s v="Waiting RFC"/>
    <s v="Go live"/>
    <d v="2024-08-01T00:00:00"/>
    <d v="2024-10-01T00:00:00"/>
    <x v="3"/>
    <s v="email à RH s'il faut continuer le projet ou pas"/>
    <m/>
  </r>
  <r>
    <x v="1"/>
    <n v="1"/>
    <s v="CF176"/>
    <x v="51"/>
    <x v="2"/>
    <s v="In house"/>
    <s v="GPAO"/>
    <s v="Jeanne"/>
    <s v="Jeanne"/>
    <x v="3"/>
    <m/>
    <x v="11"/>
    <m/>
    <s v="Go live"/>
    <m/>
    <d v="2024-06-30T00:00:00"/>
    <x v="3"/>
    <s v="Amélioration apportée, pour éviter le désaffectation puis réaffectation mise"/>
    <m/>
  </r>
  <r>
    <x v="1"/>
    <n v="1"/>
    <s v="CF176"/>
    <x v="52"/>
    <x v="3"/>
    <s v="In house"/>
    <s v="GPAO"/>
    <s v="Jeanne"/>
    <s v="Philibert"/>
    <x v="3"/>
    <m/>
    <x v="12"/>
    <s v="RFC approved"/>
    <s v="Go live"/>
    <m/>
    <d v="2025-06-10T00:00:00"/>
    <x v="3"/>
    <s v="- Facturation : unité U à mettre par défaut pour les prix 650$ ou 200$ ou 25$_x000a_- Mettre un choix si surcouts à afficher dans o/c ou non_x000a_Canceled PO Dilshad_x000a__x000a_RFC changé (mail de VA le 10/12/2024)_x000a__x000a_- Un écran de saisie des réclamations clients (100%)_x000a_- Basculement de la provision en claim (100%)_x000a_- Validation du Directeur cal (100%)_x000a_- Cloture provision/Claim (100%)_x000a_"/>
    <m/>
  </r>
  <r>
    <x v="1"/>
    <n v="1"/>
    <s v="CF177"/>
    <x v="53"/>
    <x v="3"/>
    <s v="In house"/>
    <s v="GPAO"/>
    <s v="Jeanne"/>
    <s v="Philibert"/>
    <x v="3"/>
    <m/>
    <x v="3"/>
    <s v="DEV started"/>
    <s v="Go live"/>
    <m/>
    <d v="2024-06-30T00:00:00"/>
    <x v="3"/>
    <s v="Verrou à remettre à la facturation et non pas au niveau du solde_x000a_Fin de facturation Y/N à revoir"/>
    <m/>
  </r>
  <r>
    <x v="1"/>
    <n v="1"/>
    <s v="CF186"/>
    <x v="54"/>
    <x v="2"/>
    <s v="In house"/>
    <s v="GPAO"/>
    <s v="Jeanne"/>
    <s v="Sahondra/Laza"/>
    <x v="3"/>
    <s v="Medium"/>
    <x v="4"/>
    <m/>
    <s v="DEV started"/>
    <d v="2025-05-05T00:00:00"/>
    <m/>
    <x v="2"/>
    <m/>
    <m/>
  </r>
  <r>
    <x v="1"/>
    <n v="1"/>
    <s v="CF179"/>
    <x v="55"/>
    <x v="3"/>
    <s v="In house"/>
    <s v="GPAO"/>
    <s v="Jeanne"/>
    <s v="VA"/>
    <x v="4"/>
    <m/>
    <x v="2"/>
    <m/>
    <s v="Go live"/>
    <m/>
    <d v="2025-04-04T00:00:00"/>
    <x v="3"/>
    <s v="Surligner les articles dans SDL si le FSS est validé"/>
    <m/>
  </r>
  <r>
    <x v="1"/>
    <n v="1"/>
    <s v="CF180"/>
    <x v="56"/>
    <x v="2"/>
    <s v="In house"/>
    <s v="WEB"/>
    <s v="Fetra"/>
    <s v="Lovin"/>
    <x v="7"/>
    <m/>
    <x v="3"/>
    <s v="DEV started"/>
    <s v="Go live"/>
    <d v="2024-03-22T00:00:00"/>
    <d v="2024-05-15T00:00:00"/>
    <x v="3"/>
    <s v="_Tenir en compte le circuit de validation des utilisateurs_x000a__(possible ajout d'un fiche de validation scanner dans le plateform)_x000a__Modifier le format du mail et son contenu"/>
    <s v="_Format mail en attente de template de Onintsalama_x000a__Voir la possibilité de digitaliser le fiche de validation en papier_x000a__mis au point des affichage _x000a__EN attente retour de test et vérrou sur GPAO_x000a__Mis au point des reglement à adopter"/>
  </r>
  <r>
    <x v="1"/>
    <n v="1"/>
    <s v="CF194"/>
    <x v="57"/>
    <x v="3"/>
    <s v="In house"/>
    <s v="GPAO"/>
    <s v="Jeanne"/>
    <s v="Aina"/>
    <x v="3"/>
    <m/>
    <x v="0"/>
    <m/>
    <s v="DEV started"/>
    <m/>
    <m/>
    <x v="2"/>
    <m/>
    <m/>
  </r>
  <r>
    <x v="1"/>
    <n v="1"/>
    <s v="CF181"/>
    <x v="58"/>
    <x v="9"/>
    <s v="In house"/>
    <s v="ORACLE"/>
    <s v="Jackson"/>
    <s v="Sahondra"/>
    <x v="1"/>
    <m/>
    <x v="5"/>
    <m/>
    <s v="Go live"/>
    <m/>
    <d v="2024-04-15T00:00:00"/>
    <x v="3"/>
    <s v="BI (Laza) - en cours"/>
    <m/>
  </r>
  <r>
    <x v="1"/>
    <n v="1"/>
    <s v="CF181"/>
    <x v="59"/>
    <x v="3"/>
    <s v="In house"/>
    <s v="GPAO"/>
    <s v="Jeanne"/>
    <s v="VA"/>
    <x v="4"/>
    <m/>
    <x v="2"/>
    <m/>
    <s v="Go live"/>
    <m/>
    <d v="2025-03-07T00:00:00"/>
    <x v="3"/>
    <s v="Revoir la liste des blacklist_x000a_Séparer Blacklist et master record_x000a_Debugging des articles non figuré dans SDL"/>
    <m/>
  </r>
  <r>
    <x v="1"/>
    <n v="1"/>
    <s v="CF182"/>
    <x v="60"/>
    <x v="9"/>
    <s v="In house"/>
    <s v="ORACLE"/>
    <s v="Jackson"/>
    <s v="Sahondra"/>
    <x v="1"/>
    <m/>
    <x v="1"/>
    <m/>
    <s v="Waiting RFC"/>
    <m/>
    <m/>
    <x v="1"/>
    <s v="- RFC faite par Brm en attente validation LP"/>
    <m/>
  </r>
  <r>
    <x v="1"/>
    <n v="1"/>
    <s v="CF182"/>
    <x v="61"/>
    <x v="9"/>
    <s v="In house"/>
    <s v="GPAO"/>
    <s v="Fetra"/>
    <s v="Sahondra"/>
    <x v="0"/>
    <m/>
    <x v="0"/>
    <s v="Testing"/>
    <s v="Go live"/>
    <m/>
    <d v="2024-07-01T00:00:00"/>
    <x v="3"/>
    <s v="- Inventaire (Go live)_x000a_- Intégration &amp; Expedition : développement déjà terminé, attente réunion pour mise au point avant lancement test_x000a_- Expedition : (90%)"/>
    <m/>
  </r>
  <r>
    <x v="1"/>
    <n v="1"/>
    <s v="CF182"/>
    <x v="62"/>
    <x v="3"/>
    <s v="In house"/>
    <s v="GPAO"/>
    <s v="Jeanne"/>
    <s v="VA"/>
    <x v="3"/>
    <s v="Medium"/>
    <x v="13"/>
    <m/>
    <s v="Go live"/>
    <m/>
    <d v="2025-06-06T00:00:00"/>
    <x v="3"/>
    <m/>
    <m/>
  </r>
  <r>
    <x v="1"/>
    <n v="1"/>
    <s v="CF183"/>
    <x v="63"/>
    <x v="2"/>
    <s v="In house"/>
    <s v="GPAO"/>
    <s v="Jeanne"/>
    <s v="Ony"/>
    <x v="3"/>
    <m/>
    <x v="14"/>
    <m/>
    <s v="Go live"/>
    <m/>
    <d v="2024-05-15T00:00:00"/>
    <x v="3"/>
    <s v="- Création de report (100%)_x000a_- Génération automatique du fichier pdf dans le serveur (100%)"/>
    <m/>
  </r>
  <r>
    <x v="1"/>
    <m/>
    <s v="CF183"/>
    <x v="64"/>
    <x v="10"/>
    <s v="In house"/>
    <s v="WEB"/>
    <s v="Fanilo"/>
    <s v="Tina"/>
    <x v="4"/>
    <s v="Medium"/>
    <x v="15"/>
    <m/>
    <s v="Go live"/>
    <d v="2025-03-18T00:00:00"/>
    <d v="2025-07-28T00:00:00"/>
    <x v="3"/>
    <s v="Il reste encore des améliorations à apporter :_x000a_=&gt; Configuration des mails (Relance mail, Bilan des PO ou DDS validés en fichier Excel chaque soir pour chaque valideur et demandeur)(100%)_x000a_=&gt; Mise en place d’un bouton pour filtrer et extraire toutes les demandes PO et DDS validées depuis M. Raphael(80%)"/>
    <m/>
  </r>
  <r>
    <x v="1"/>
    <n v="1"/>
    <s v="CF184"/>
    <x v="65"/>
    <x v="11"/>
    <s v="In house"/>
    <s v="WEB"/>
    <s v="Fetra"/>
    <s v="Natacha"/>
    <x v="7"/>
    <s v="Medium"/>
    <x v="9"/>
    <m/>
    <s v="Go live"/>
    <m/>
    <s v="28-feb-25"/>
    <x v="3"/>
    <s v="•_x0009_Etablir le Work Breakdown Structure : travailler sur la codification de chaque machine sur le registre immobilisation par rapport au Dimomaint._x000a_a)_x0009_Déterminer les nombres de code immo_x000a_b)_x0009_Déterminer le temps à allouer pour réaliser le projet._x000a_c)_x0009_Définir le champion_x000a_d)_x0009_Etablir le planning de réalisation_x000a_e)_x0009_Date définie pour finir le projet en entier._x000a_•_x0009_Travailler avec l’IT sur la migration des codes en codes-barres et l’application qui va avec._x000a_•_x0009_Coller chaque code-barres sur chaque machine."/>
    <m/>
  </r>
  <r>
    <x v="1"/>
    <n v="1"/>
    <s v="CF184"/>
    <x v="66"/>
    <x v="3"/>
    <s v="In house"/>
    <s v="WEB"/>
    <s v="Jeanne"/>
    <s v="LP"/>
    <x v="4"/>
    <s v="High"/>
    <x v="16"/>
    <m/>
    <s v="Go live"/>
    <d v="2025-05-14T00:00:00"/>
    <d v="2025-05-15T00:00:00"/>
    <x v="3"/>
    <s v="- Fiche suiveuse_x000a_- Bilan commande_x000a_- Saisie date ordo_x000a_- Fiche d'approbation_x000a_- Création commande"/>
    <m/>
  </r>
  <r>
    <x v="1"/>
    <n v="1"/>
    <s v="CF185"/>
    <x v="67"/>
    <x v="2"/>
    <s v="In house"/>
    <s v="GPAO"/>
    <s v="Jeanne"/>
    <s v="TR"/>
    <x v="3"/>
    <m/>
    <x v="17"/>
    <m/>
    <s v="Go live"/>
    <m/>
    <d v="2025-04-11T00:00:00"/>
    <x v="3"/>
    <m/>
    <m/>
  </r>
  <r>
    <x v="1"/>
    <n v="1"/>
    <s v="CF196"/>
    <x v="68"/>
    <x v="4"/>
    <s v="In house"/>
    <s v="GPAO"/>
    <s v="Jeanne"/>
    <s v="Jeanne"/>
    <x v="3"/>
    <m/>
    <x v="0"/>
    <m/>
    <s v="DEV started"/>
    <m/>
    <m/>
    <x v="2"/>
    <s v="Ergonomie"/>
    <m/>
  </r>
  <r>
    <x v="1"/>
    <n v="1"/>
    <s v="CF186"/>
    <x v="69"/>
    <x v="2"/>
    <s v="In house"/>
    <s v="GPAO"/>
    <s v="Jeanne"/>
    <s v="VA"/>
    <x v="4"/>
    <m/>
    <x v="18"/>
    <m/>
    <s v="Go live"/>
    <d v="2025-05-05T00:00:00"/>
    <d v="2025-05-09T00:00:00"/>
    <x v="3"/>
    <m/>
    <m/>
  </r>
  <r>
    <x v="1"/>
    <n v="1"/>
    <s v="CF197"/>
    <x v="70"/>
    <x v="2"/>
    <s v="In house"/>
    <s v="WEB"/>
    <s v="Jeanne/_x000a_Fetra"/>
    <s v="TR"/>
    <x v="3"/>
    <m/>
    <x v="0"/>
    <m/>
    <s v="DEV started"/>
    <m/>
    <m/>
    <x v="2"/>
    <m/>
    <m/>
  </r>
  <r>
    <x v="1"/>
    <n v="1"/>
    <s v="CF187"/>
    <x v="71"/>
    <x v="3"/>
    <s v="In house"/>
    <m/>
    <s v="Jeanne"/>
    <s v="LP"/>
    <x v="0"/>
    <m/>
    <x v="0"/>
    <m/>
    <s v="Go live"/>
    <m/>
    <d v="2025-06-19T00:00:00"/>
    <x v="3"/>
    <m/>
    <m/>
  </r>
  <r>
    <x v="1"/>
    <n v="1"/>
    <s v="CF187"/>
    <x v="72"/>
    <x v="2"/>
    <s v="In house"/>
    <s v="GPAO"/>
    <s v="Jeanne"/>
    <s v="LP"/>
    <x v="4"/>
    <s v="High"/>
    <x v="0"/>
    <m/>
    <s v="Go live"/>
    <m/>
    <d v="2025-07-17T00:00:00"/>
    <x v="3"/>
    <m/>
    <m/>
  </r>
  <r>
    <x v="1"/>
    <n v="1"/>
    <s v="CF188"/>
    <x v="73"/>
    <x v="2"/>
    <s v="In house"/>
    <s v="GPAO"/>
    <s v="Jeanne"/>
    <s v="LP"/>
    <x v="4"/>
    <s v="High"/>
    <x v="0"/>
    <m/>
    <s v="Go live"/>
    <m/>
    <d v="2025-07-15T00:00:00"/>
    <x v="3"/>
    <m/>
    <m/>
  </r>
  <r>
    <x v="1"/>
    <n v="1"/>
    <s v="CF189"/>
    <x v="74"/>
    <x v="2"/>
    <s v="In house"/>
    <s v="GPAO"/>
    <s v="Jeanne"/>
    <s v="LP"/>
    <x v="4"/>
    <s v="High"/>
    <x v="0"/>
    <m/>
    <s v="Go live"/>
    <m/>
    <d v="2025-07-15T00:00:00"/>
    <x v="3"/>
    <m/>
    <m/>
  </r>
  <r>
    <x v="1"/>
    <n v="1"/>
    <s v="CF190"/>
    <x v="75"/>
    <x v="2"/>
    <s v="In house"/>
    <s v="GPAO"/>
    <s v="Jeanne"/>
    <s v="LP"/>
    <x v="4"/>
    <s v="High"/>
    <x v="0"/>
    <m/>
    <s v="Go live"/>
    <m/>
    <d v="2025-07-17T00:00:00"/>
    <x v="3"/>
    <m/>
    <m/>
  </r>
  <r>
    <x v="1"/>
    <n v="1"/>
    <s v="CF191"/>
    <x v="76"/>
    <x v="2"/>
    <s v="In house"/>
    <s v="GPAO"/>
    <s v="Jeanne"/>
    <s v="LP"/>
    <x v="4"/>
    <s v="High"/>
    <x v="0"/>
    <m/>
    <s v="Go live"/>
    <m/>
    <d v="2025-07-08T00:00:00"/>
    <x v="3"/>
    <m/>
    <m/>
  </r>
  <r>
    <x v="1"/>
    <n v="1"/>
    <s v="CF198"/>
    <x v="77"/>
    <x v="2"/>
    <s v="In house"/>
    <s v="WEB"/>
    <s v="Jeanne/_x000a_Fetra"/>
    <s v="TR"/>
    <x v="3"/>
    <m/>
    <x v="0"/>
    <m/>
    <s v="DEV started"/>
    <m/>
    <m/>
    <x v="2"/>
    <m/>
    <m/>
  </r>
  <r>
    <x v="1"/>
    <n v="1"/>
    <s v="CF199"/>
    <x v="78"/>
    <x v="2"/>
    <s v="In house"/>
    <s v="GPAO"/>
    <s v="Jeanne"/>
    <s v="TR"/>
    <x v="3"/>
    <m/>
    <x v="0"/>
    <m/>
    <s v="DEV started"/>
    <m/>
    <m/>
    <x v="2"/>
    <m/>
    <m/>
  </r>
  <r>
    <x v="1"/>
    <n v="1"/>
    <s v="CF201"/>
    <x v="79"/>
    <x v="2"/>
    <s v="In house"/>
    <s v="WEB"/>
    <s v="Jeanne"/>
    <s v="TR"/>
    <x v="3"/>
    <m/>
    <x v="0"/>
    <m/>
    <s v="DEV started"/>
    <m/>
    <m/>
    <x v="2"/>
    <m/>
    <m/>
  </r>
  <r>
    <x v="1"/>
    <n v="1"/>
    <s v="CF202"/>
    <x v="80"/>
    <x v="2"/>
    <s v="In house"/>
    <s v="WEB"/>
    <s v="Jeanne/_x000a_Fetra"/>
    <s v="TR"/>
    <x v="3"/>
    <m/>
    <x v="0"/>
    <m/>
    <s v="DEV started"/>
    <m/>
    <m/>
    <x v="2"/>
    <m/>
    <m/>
  </r>
  <r>
    <x v="1"/>
    <n v="1"/>
    <s v="CF195"/>
    <x v="81"/>
    <x v="3"/>
    <s v="In house"/>
    <s v="WEB"/>
    <s v="Jeanne"/>
    <s v="Phil"/>
    <x v="7"/>
    <m/>
    <x v="0"/>
    <m/>
    <s v="Waiting RFC"/>
    <m/>
    <m/>
    <x v="1"/>
    <m/>
    <m/>
  </r>
  <r>
    <x v="1"/>
    <n v="1"/>
    <s v="CF200"/>
    <x v="82"/>
    <x v="2"/>
    <s v="In house"/>
    <s v="GPAO"/>
    <s v="Jeanne"/>
    <s v="TR"/>
    <x v="7"/>
    <m/>
    <x v="0"/>
    <m/>
    <s v="Waiting RFC"/>
    <m/>
    <m/>
    <x v="1"/>
    <m/>
    <m/>
  </r>
  <r>
    <x v="1"/>
    <n v="1"/>
    <s v="CF203"/>
    <x v="83"/>
    <x v="2"/>
    <s v="In house"/>
    <s v="GPAO"/>
    <s v="Jeanne"/>
    <s v="TR"/>
    <x v="7"/>
    <m/>
    <x v="0"/>
    <m/>
    <s v="Waiting RFC"/>
    <m/>
    <m/>
    <x v="1"/>
    <m/>
    <m/>
  </r>
  <r>
    <x v="1"/>
    <n v="1"/>
    <s v="CF101"/>
    <x v="84"/>
    <x v="12"/>
    <s v="In house"/>
    <s v="GPAO"/>
    <s v="Jeanne"/>
    <s v="Marc"/>
    <x v="7"/>
    <m/>
    <x v="1"/>
    <s v="DEV started"/>
    <s v="DEV started"/>
    <m/>
    <m/>
    <x v="2"/>
    <s v="- Ajout nouvelles fonctionnalités proposées par Tiana/Aurélie/Marc_x000a_- Groupages des factures en anglais (waiting réunion)_x000a_S/BY PO Aurélie"/>
    <m/>
  </r>
  <r>
    <x v="1"/>
    <n v="1"/>
    <s v="CF127e"/>
    <x v="85"/>
    <x v="2"/>
    <s v="In house"/>
    <s v="WEB"/>
    <s v="Jeanne/_x000a_Fetra"/>
    <s v="Shakil_x000a_LP"/>
    <x v="7"/>
    <m/>
    <x v="1"/>
    <s v="DEV started"/>
    <s v="Testing"/>
    <m/>
    <m/>
    <x v="4"/>
    <s v="Voir les besoins de chaque département (NEW DESIGN v1.1)_x000a_- Synchronisation données GPAO vers SALES (100%)_x000a_- MCPAT_x000a_- Yarn_x000a_- Yarn dyeing_x000a_- Weaving_x000a_- Finishing_x000a_- Sales_x000a_  * Envoi facture/PL mutliples (Gouper Facture, Colisage, BT =&gt; 1 pdf par facture) (100%)_x000a_   * Corps mail à rajouter : client, retailer, article, style (100%)_x000a_   * Objet mail à rajouter : retailer, article (100%)_x000a_- Store_x000a_   * Design (100%)_x000a_   * Grouper par PO (100%)"/>
    <m/>
  </r>
  <r>
    <x v="1"/>
    <n v="1"/>
    <s v="CF060"/>
    <x v="86"/>
    <x v="1"/>
    <s v="In house"/>
    <s v="GPAO"/>
    <s v="Jeanne"/>
    <s v="Rehad"/>
    <x v="1"/>
    <s v="Medium"/>
    <x v="3"/>
    <s v="Waiting RFC"/>
    <s v="Waiting RFC"/>
    <m/>
    <m/>
    <x v="1"/>
    <s v="Attente mise à jour RFC (Thierry) (inclure Shakil pour lancer projet), faire un email à RH pour aller au bout du projet avec un ticket RFC ( ajout champ commentaire faisabilité + envoi email auto  à l'emetteur de FSR)"/>
    <m/>
  </r>
  <r>
    <x v="1"/>
    <n v="1"/>
    <s v="CF094"/>
    <x v="87"/>
    <x v="1"/>
    <s v="In house"/>
    <s v="GPAO"/>
    <s v="Jeanne"/>
    <s v="Rehad"/>
    <x v="1"/>
    <s v="Medium"/>
    <x v="3"/>
    <s v="Waiting RFC"/>
    <s v="RFC approved"/>
    <m/>
    <m/>
    <x v="5"/>
    <s v="attente ajout fonctionnalité de RH, Partie CAL OK"/>
    <m/>
  </r>
  <r>
    <x v="1"/>
    <n v="1"/>
    <s v="CF178"/>
    <x v="88"/>
    <x v="3"/>
    <s v="In house"/>
    <s v="WEB"/>
    <s v="Jeanne"/>
    <s v="Philibert"/>
    <x v="1"/>
    <s v="Medium"/>
    <x v="3"/>
    <s v="Waiting RFC"/>
    <s v="Waiting RFC"/>
    <m/>
    <m/>
    <x v="1"/>
    <s v="- A mettre Dilshad comme destinataire pour les annulations / passage en résa A : à faire apparaitre dans l'email si liste verte ou non._x000a_- Ecran de validation pour Dilshad sur plateforme"/>
    <m/>
  </r>
  <r>
    <x v="1"/>
    <n v="1"/>
    <s v="GR01a"/>
    <x v="89"/>
    <x v="5"/>
    <s v="In house"/>
    <s v="WEB"/>
    <s v="Fetra"/>
    <s v="Zo"/>
    <x v="4"/>
    <s v="Medium"/>
    <x v="19"/>
    <m/>
    <s v="Testing"/>
    <d v="2024-10-02T00:00:00"/>
    <m/>
    <x v="3"/>
    <m/>
    <m/>
  </r>
  <r>
    <x v="1"/>
    <n v="0"/>
    <s v="GR01aa"/>
    <x v="90"/>
    <x v="5"/>
    <s v="In house"/>
    <s v="WEB"/>
    <s v="Fetra"/>
    <s v="Zo"/>
    <x v="4"/>
    <s v="Medium"/>
    <x v="19"/>
    <m/>
    <s v="Testing"/>
    <d v="2024-10-02T00:00:00"/>
    <m/>
    <x v="4"/>
    <m/>
    <m/>
  </r>
  <r>
    <x v="1"/>
    <n v="0"/>
    <s v="GR01b"/>
    <x v="91"/>
    <x v="5"/>
    <s v="In house"/>
    <s v="WEB"/>
    <s v="Fetra"/>
    <s v="Zo"/>
    <x v="4"/>
    <s v="Medium"/>
    <x v="19"/>
    <m/>
    <s v="Go live"/>
    <d v="2024-10-02T00:00:00"/>
    <m/>
    <x v="3"/>
    <m/>
    <m/>
  </r>
  <r>
    <x v="1"/>
    <n v="0"/>
    <s v="GR01c"/>
    <x v="92"/>
    <x v="5"/>
    <s v="In house"/>
    <s v="WEB"/>
    <s v="Fetra"/>
    <s v="Zo"/>
    <x v="4"/>
    <s v="Medium"/>
    <x v="19"/>
    <m/>
    <s v="Testing"/>
    <d v="2024-10-02T00:00:00"/>
    <m/>
    <x v="4"/>
    <m/>
    <m/>
  </r>
  <r>
    <x v="1"/>
    <n v="0"/>
    <s v="GR01e"/>
    <x v="93"/>
    <x v="5"/>
    <s v="In house"/>
    <s v="WEB"/>
    <s v="Fetra"/>
    <s v="Zo"/>
    <x v="4"/>
    <s v="Medium"/>
    <x v="19"/>
    <m/>
    <s v="Go live"/>
    <d v="2024-10-02T00:00:00"/>
    <m/>
    <x v="3"/>
    <m/>
    <m/>
  </r>
  <r>
    <x v="1"/>
    <n v="0"/>
    <s v="GR01f"/>
    <x v="94"/>
    <x v="5"/>
    <s v="In house"/>
    <s v="WEB"/>
    <s v="Fetra"/>
    <s v="Zo"/>
    <x v="4"/>
    <s v="Medium"/>
    <x v="19"/>
    <m/>
    <s v="Go live"/>
    <d v="2024-10-02T00:00:00"/>
    <m/>
    <x v="3"/>
    <m/>
    <m/>
  </r>
  <r>
    <x v="1"/>
    <n v="0"/>
    <s v="GR01g"/>
    <x v="95"/>
    <x v="5"/>
    <s v="In house"/>
    <s v="WEB"/>
    <s v="Fetra"/>
    <s v="Zo"/>
    <x v="4"/>
    <s v="Medium"/>
    <x v="19"/>
    <m/>
    <s v="Testing"/>
    <d v="2024-10-02T00:00:00"/>
    <m/>
    <x v="4"/>
    <m/>
    <m/>
  </r>
  <r>
    <x v="1"/>
    <n v="0"/>
    <s v="GR01h"/>
    <x v="96"/>
    <x v="5"/>
    <s v="In house"/>
    <s v="WEB"/>
    <s v="Fetra"/>
    <s v="Zo"/>
    <x v="4"/>
    <s v="Medium"/>
    <x v="19"/>
    <m/>
    <s v="Go live"/>
    <d v="2024-10-02T00:00:00"/>
    <m/>
    <x v="3"/>
    <m/>
    <m/>
  </r>
  <r>
    <x v="1"/>
    <n v="0"/>
    <s v="GR01i"/>
    <x v="97"/>
    <x v="5"/>
    <s v="In house"/>
    <s v="WEB"/>
    <s v="Fetra"/>
    <s v="Zo"/>
    <x v="4"/>
    <s v="Medium"/>
    <x v="19"/>
    <m/>
    <s v="Go live"/>
    <d v="2024-10-02T00:00:00"/>
    <m/>
    <x v="3"/>
    <m/>
    <m/>
  </r>
  <r>
    <x v="1"/>
    <n v="0"/>
    <s v="GR01j"/>
    <x v="98"/>
    <x v="5"/>
    <s v="In house"/>
    <s v="WEB"/>
    <s v="Fetra"/>
    <s v="Zo"/>
    <x v="4"/>
    <s v="Medium"/>
    <x v="19"/>
    <m/>
    <s v="Go live"/>
    <d v="2024-10-02T00:00:00"/>
    <m/>
    <x v="4"/>
    <s v="Matrice envoyé par SUSTAINABILITY, vue à créer pour source de données d'un fichier Excel refreshable"/>
    <m/>
  </r>
  <r>
    <x v="1"/>
    <n v="0"/>
    <s v="GR01k"/>
    <x v="99"/>
    <x v="5"/>
    <s v="In house"/>
    <s v="WEB"/>
    <s v="Jackson"/>
    <s v="Zo"/>
    <x v="4"/>
    <m/>
    <x v="19"/>
    <m/>
    <s v="Go live"/>
    <d v="2024-09-23T00:00:00"/>
    <d v="2024-09-23T00:00:00"/>
    <x v="3"/>
    <m/>
    <m/>
  </r>
  <r>
    <x v="0"/>
    <n v="0"/>
    <s v="GR01l"/>
    <x v="100"/>
    <x v="5"/>
    <s v="In house"/>
    <s v="WEB"/>
    <s v="Jackson"/>
    <s v="Zo"/>
    <x v="4"/>
    <m/>
    <x v="19"/>
    <m/>
    <s v="Go live"/>
    <d v="2024-09-23T00:00:00"/>
    <m/>
    <x v="3"/>
    <s v="Utilisation écran existant dans AMG"/>
    <m/>
  </r>
  <r>
    <x v="0"/>
    <n v="0"/>
    <s v="GR01m"/>
    <x v="101"/>
    <x v="5"/>
    <s v="In house"/>
    <s v="WEB"/>
    <s v="Narindra"/>
    <s v="Zo"/>
    <x v="4"/>
    <m/>
    <x v="19"/>
    <m/>
    <s v="Debugging"/>
    <d v="2024-09-23T00:00:00"/>
    <m/>
    <x v="0"/>
    <s v="Liste des detinataires mails (Zo)"/>
    <m/>
  </r>
  <r>
    <x v="0"/>
    <n v="0"/>
    <s v="GR01n"/>
    <x v="102"/>
    <x v="5"/>
    <s v="In house"/>
    <s v="WEB"/>
    <s v="Narindra"/>
    <s v="Zo"/>
    <x v="4"/>
    <m/>
    <x v="19"/>
    <m/>
    <s v="Debugging"/>
    <d v="2024-09-23T00:00:00"/>
    <m/>
    <x v="0"/>
    <s v="Liste des detinataires mails (Zo)"/>
    <m/>
  </r>
  <r>
    <x v="0"/>
    <n v="0"/>
    <s v="GR01o"/>
    <x v="103"/>
    <x v="5"/>
    <s v="In house"/>
    <s v="WEB"/>
    <s v="Narindra"/>
    <s v="Zo"/>
    <x v="4"/>
    <m/>
    <x v="19"/>
    <m/>
    <s v="Debugging"/>
    <d v="2024-09-23T00:00:00"/>
    <m/>
    <x v="0"/>
    <m/>
    <m/>
  </r>
  <r>
    <x v="0"/>
    <n v="0"/>
    <s v="GR01p"/>
    <x v="104"/>
    <x v="5"/>
    <s v="In house"/>
    <s v="WEB"/>
    <s v="Narindra"/>
    <s v="Zo"/>
    <x v="4"/>
    <m/>
    <x v="19"/>
    <m/>
    <s v="Testing"/>
    <d v="2024-09-23T00:00:00"/>
    <m/>
    <x v="4"/>
    <m/>
    <m/>
  </r>
  <r>
    <x v="1"/>
    <n v="0"/>
    <s v="GR01r"/>
    <x v="105"/>
    <x v="5"/>
    <s v="In house"/>
    <s v="WEB"/>
    <s v="Fetra"/>
    <s v="Zo"/>
    <x v="4"/>
    <s v="Medium"/>
    <x v="19"/>
    <m/>
    <s v="Go live"/>
    <d v="2024-10-02T00:00:00"/>
    <m/>
    <x v="3"/>
    <m/>
    <m/>
  </r>
  <r>
    <x v="1"/>
    <n v="0"/>
    <s v="GR01s"/>
    <x v="106"/>
    <x v="5"/>
    <s v="In house"/>
    <s v="WEB"/>
    <s v="Fetra"/>
    <s v="Zo"/>
    <x v="4"/>
    <s v="Medium"/>
    <x v="19"/>
    <m/>
    <s v="Go live"/>
    <d v="2024-10-02T00:00:00"/>
    <m/>
    <x v="3"/>
    <m/>
    <m/>
  </r>
  <r>
    <x v="1"/>
    <n v="0"/>
    <s v="GR01t"/>
    <x v="107"/>
    <x v="5"/>
    <s v="In house"/>
    <s v="WEB"/>
    <s v="Fetra"/>
    <s v="Zo"/>
    <x v="4"/>
    <s v="Medium"/>
    <x v="19"/>
    <m/>
    <s v="Go live"/>
    <d v="2024-10-02T00:00:00"/>
    <m/>
    <x v="3"/>
    <m/>
    <m/>
  </r>
  <r>
    <x v="1"/>
    <n v="0"/>
    <s v="GR01u"/>
    <x v="108"/>
    <x v="5"/>
    <s v="In house"/>
    <s v="WEB"/>
    <s v="Fetra"/>
    <s v="Zo"/>
    <x v="4"/>
    <s v="Medium"/>
    <x v="19"/>
    <m/>
    <s v="Go live"/>
    <d v="2024-10-02T00:00:00"/>
    <m/>
    <x v="3"/>
    <m/>
    <m/>
  </r>
  <r>
    <x v="1"/>
    <n v="0"/>
    <s v="GR01v"/>
    <x v="109"/>
    <x v="5"/>
    <s v="In house"/>
    <s v="WEB"/>
    <s v="Fetra"/>
    <s v="Zo"/>
    <x v="4"/>
    <s v="Medium"/>
    <x v="19"/>
    <m/>
    <s v="Go live"/>
    <d v="2024-10-02T00:00:00"/>
    <m/>
    <x v="3"/>
    <m/>
    <m/>
  </r>
  <r>
    <x v="1"/>
    <n v="0"/>
    <s v="GR01w"/>
    <x v="110"/>
    <x v="5"/>
    <s v="In house"/>
    <s v="WEB"/>
    <s v="Fetra"/>
    <s v="Zo"/>
    <x v="4"/>
    <s v="Medium"/>
    <x v="19"/>
    <m/>
    <s v="Go live"/>
    <d v="2024-10-02T00:00:00"/>
    <m/>
    <x v="3"/>
    <m/>
    <m/>
  </r>
  <r>
    <x v="1"/>
    <n v="0"/>
    <s v="GR01x"/>
    <x v="111"/>
    <x v="5"/>
    <s v="In house"/>
    <s v="WEB"/>
    <s v="Fetra"/>
    <s v="Zo"/>
    <x v="4"/>
    <s v="Medium"/>
    <x v="19"/>
    <m/>
    <s v="Go live"/>
    <d v="2024-10-02T00:00:00"/>
    <m/>
    <x v="3"/>
    <m/>
    <m/>
  </r>
  <r>
    <x v="1"/>
    <n v="0"/>
    <s v="GR01y"/>
    <x v="112"/>
    <x v="5"/>
    <s v="In house"/>
    <s v="WEB"/>
    <s v="Fetra"/>
    <s v="Zo"/>
    <x v="4"/>
    <s v="Medium"/>
    <x v="19"/>
    <m/>
    <s v="Go live"/>
    <d v="2024-10-02T00:00:00"/>
    <m/>
    <x v="3"/>
    <m/>
    <m/>
  </r>
  <r>
    <x v="1"/>
    <n v="0"/>
    <s v="GR01z"/>
    <x v="113"/>
    <x v="5"/>
    <s v="In house"/>
    <s v="WEB"/>
    <s v="Fetra"/>
    <s v="Zo"/>
    <x v="4"/>
    <s v="Medium"/>
    <x v="19"/>
    <m/>
    <s v="Go live"/>
    <d v="2024-10-02T00:00:00"/>
    <m/>
    <x v="3"/>
    <m/>
    <m/>
  </r>
  <r>
    <x v="0"/>
    <n v="1"/>
    <s v="SG01"/>
    <x v="114"/>
    <x v="13"/>
    <s v="In house"/>
    <s v="CRP"/>
    <s v="Narindra"/>
    <s v="Dani"/>
    <x v="3"/>
    <s v="Low"/>
    <x v="0"/>
    <m/>
    <s v="Go live"/>
    <m/>
    <d v="2025-01-15T00:00:00"/>
    <x v="3"/>
    <m/>
    <m/>
  </r>
  <r>
    <x v="0"/>
    <n v="1"/>
    <s v="SG02"/>
    <x v="115"/>
    <x v="14"/>
    <s v="In house"/>
    <s v="CRP"/>
    <s v="Narindra"/>
    <s v="Dani"/>
    <x v="3"/>
    <s v="Medium"/>
    <x v="0"/>
    <m/>
    <s v="Go live"/>
    <s v="28-janv-24"/>
    <d v="2025-02-03T00:00:00"/>
    <x v="3"/>
    <m/>
    <m/>
  </r>
  <r>
    <x v="0"/>
    <n v="26884"/>
    <s v="SG03"/>
    <x v="116"/>
    <x v="13"/>
    <s v="In house"/>
    <s v="CRP"/>
    <s v="Narindra"/>
    <s v="Dani"/>
    <x v="3"/>
    <s v="Low"/>
    <x v="0"/>
    <m/>
    <s v="Go live"/>
    <m/>
    <d v="2025-01-02T00:00:00"/>
    <x v="3"/>
    <m/>
    <m/>
  </r>
  <r>
    <x v="0"/>
    <n v="28859"/>
    <s v="SG04"/>
    <x v="117"/>
    <x v="13"/>
    <s v="In house"/>
    <s v="CRP"/>
    <s v="Narindra"/>
    <s v="Dani"/>
    <x v="4"/>
    <s v="Low"/>
    <x v="0"/>
    <m/>
    <s v="Go live"/>
    <d v="2024-11-15T00:00:00"/>
    <d v="2025-02-20T00:00:00"/>
    <x v="3"/>
    <s v="Test avec du programme de Dani dans CRP est OK (Go live 20-02-2025)"/>
    <s v="Ce projet est lié au projet  &lt;&lt; [Ticket #28859] RFC washing recipe for BULK&gt;&gt; realisé par Dani dans CRP."/>
  </r>
  <r>
    <x v="0"/>
    <n v="28859"/>
    <s v="SG05"/>
    <x v="118"/>
    <x v="13"/>
    <s v="In house"/>
    <s v="CRP"/>
    <s v="Narindra"/>
    <s v="Dani"/>
    <x v="4"/>
    <s v="Low"/>
    <x v="0"/>
    <m/>
    <s v="Go live"/>
    <d v="2024-11-18T00:00:00"/>
    <d v="2025-02-20T00:00:00"/>
    <x v="3"/>
    <s v="Test avec du programme de Dani dans CRP est OK (Go live 20-02-2025)"/>
    <s v="Ce projet est lié au projet  &lt;&lt; [Ticket #28859] RFC washing recipe for BULK&gt;&gt; realisé par Dani dans CRP."/>
  </r>
  <r>
    <x v="0"/>
    <n v="30636"/>
    <s v="SG06"/>
    <x v="119"/>
    <x v="4"/>
    <s v="In house"/>
    <s v="WEB"/>
    <s v="Narindra"/>
    <s v="Dani"/>
    <x v="3"/>
    <s v="Medium"/>
    <x v="0"/>
    <m/>
    <s v="Go live"/>
    <d v="2025-01-20T00:00:00"/>
    <m/>
    <x v="3"/>
    <m/>
    <m/>
  </r>
  <r>
    <x v="0"/>
    <m/>
    <s v="SG07"/>
    <x v="120"/>
    <x v="15"/>
    <s v="In house"/>
    <s v="WEB"/>
    <s v="Narindra"/>
    <s v="Dani"/>
    <x v="4"/>
    <s v="Medium"/>
    <x v="0"/>
    <m/>
    <s v="Go live"/>
    <m/>
    <d v="2025-03-24T00:00:00"/>
    <x v="3"/>
    <m/>
    <m/>
  </r>
  <r>
    <x v="0"/>
    <m/>
    <s v="SG08"/>
    <x v="121"/>
    <x v="15"/>
    <s v="In house"/>
    <s v="WEB"/>
    <s v="Narindra"/>
    <s v="Dani"/>
    <x v="4"/>
    <s v="Medium"/>
    <x v="0"/>
    <m/>
    <s v="Go live"/>
    <m/>
    <d v="2025-03-20T00:00:00"/>
    <x v="3"/>
    <m/>
    <m/>
  </r>
  <r>
    <x v="0"/>
    <n v="1"/>
    <m/>
    <x v="122"/>
    <x v="16"/>
    <s v="In house"/>
    <s v="WEB"/>
    <s v="Fetra"/>
    <s v="Flavien"/>
    <x v="3"/>
    <m/>
    <x v="3"/>
    <s v="DEV started"/>
    <s v="Go live"/>
    <m/>
    <d v="2025-03-18T00:00:00"/>
    <x v="3"/>
    <s v="- Access level with AD (100%)_x000a_- Rework in line entries (100%)_x000a_- Rework final entries (100%)_x000a_- Unitwise dashboard (100%)_x000a_- Unitwise report (100%)_x000a_- Modulewise dashboard (100%)_x000a_- Modulewise report (100%)_x000a_- Bonus calculation dashboard (100%)_x000a_- Bonus calculation report (100%)_x000a_- Revérification rework in line pour les saisie des entrées (100%)_x000a_- Rajout onglet Internal Quality avec details et récapitulation et rapport (100%)_x000a_- Rajout / filtre date multiple dans modulewise et internal Quantity (100%)_x000a_- Mise à jour fichier power BI selon la base de données (50%)"/>
    <s v="En attente revue données avec Dani"/>
  </r>
  <r>
    <x v="0"/>
    <n v="1"/>
    <m/>
    <x v="123"/>
    <x v="5"/>
    <s v="In house"/>
    <s v="WEB"/>
    <s v="Jeanne"/>
    <s v="Fetra"/>
    <x v="8"/>
    <m/>
    <x v="0"/>
    <s v="DEV started"/>
    <s v="Go live"/>
    <m/>
    <m/>
    <x v="3"/>
    <m/>
    <m/>
  </r>
  <r>
    <x v="0"/>
    <n v="25060"/>
    <m/>
    <x v="124"/>
    <x v="17"/>
    <s v="In house"/>
    <s v="CRP"/>
    <s v="Fetra"/>
    <s v="Vonjy"/>
    <x v="1"/>
    <m/>
    <x v="0"/>
    <s v="Testing"/>
    <s v="Go live"/>
    <m/>
    <m/>
    <x v="3"/>
    <s v="Waiting store test for new PL modified PDF"/>
    <m/>
  </r>
  <r>
    <x v="0"/>
    <n v="1"/>
    <m/>
    <x v="125"/>
    <x v="18"/>
    <s v="In house"/>
    <s v="CRP"/>
    <s v="Fetra"/>
    <s v="Tovo"/>
    <x v="0"/>
    <m/>
    <x v="0"/>
    <m/>
    <s v="Go live"/>
    <m/>
    <m/>
    <x v="3"/>
    <m/>
    <m/>
  </r>
  <r>
    <x v="0"/>
    <n v="1"/>
    <m/>
    <x v="126"/>
    <x v="19"/>
    <s v="In house"/>
    <s v="WEB"/>
    <s v="Fetra"/>
    <s v="Mina"/>
    <x v="9"/>
    <m/>
    <x v="0"/>
    <m/>
    <s v="DEV started"/>
    <m/>
    <m/>
    <x v="2"/>
    <s v="- Future projection (30%)_x000a_- Historical (30%)_x000a_- Customers (30%)_x000a_- Scheduled task (30%)"/>
    <s v="Attente données Excel avec formule venant de Mina"/>
  </r>
  <r>
    <x v="0"/>
    <n v="1"/>
    <m/>
    <x v="127"/>
    <x v="6"/>
    <s v="In house"/>
    <s v="WEB"/>
    <s v="Fetra"/>
    <s v="Tsiry/Aina"/>
    <x v="0"/>
    <m/>
    <x v="0"/>
    <m/>
    <s v="Debugging"/>
    <m/>
    <m/>
    <x v="0"/>
    <s v="- Home (100%)_x000a_- Search (100%)_x000a_- Technical sheet (100%)_x000a_- Administration (100%)"/>
    <m/>
  </r>
  <r>
    <x v="0"/>
    <n v="1"/>
    <m/>
    <x v="128"/>
    <x v="18"/>
    <s v="In house"/>
    <s v="WEB"/>
    <s v="Fetra"/>
    <s v="Helly"/>
    <x v="0"/>
    <m/>
    <x v="11"/>
    <m/>
    <s v="Go live"/>
    <m/>
    <d v="2024-08-01T00:00:00"/>
    <x v="3"/>
    <s v="- Hourly Packed qty (100%)_x000a_- Hourly Traget values (100%)_x000a_- Section Administration (100%)_x000a_- Scheduled Task (100%)"/>
    <m/>
  </r>
  <r>
    <x v="0"/>
    <m/>
    <m/>
    <x v="129"/>
    <x v="8"/>
    <s v="In house"/>
    <s v="CRP"/>
    <s v="Dani"/>
    <s v="Mina"/>
    <x v="0"/>
    <s v="Medium"/>
    <x v="0"/>
    <m/>
    <s v="Go live"/>
    <m/>
    <d v="2024-07-03T00:00:00"/>
    <x v="3"/>
    <s v="MC: in live in CRP, next step is to import the info into FRP - Target date: 7th March_x000a_MRP and CP event: this project was put aside recently and we will restart working on it starting next week."/>
    <m/>
  </r>
  <r>
    <x v="0"/>
    <s v="1"/>
    <m/>
    <x v="123"/>
    <x v="5"/>
    <s v="In house"/>
    <s v="WEB"/>
    <s v="Jeanne"/>
    <s v="Fetra"/>
    <x v="0"/>
    <s v="High"/>
    <x v="0"/>
    <m/>
    <s v="Go live"/>
    <m/>
    <d v="2024-01-10T00:00:00"/>
    <x v="3"/>
    <m/>
    <m/>
  </r>
  <r>
    <x v="0"/>
    <s v="25768"/>
    <m/>
    <x v="130"/>
    <x v="20"/>
    <s v="In house"/>
    <s v="CRP"/>
    <s v="Dani"/>
    <s v="Lanto"/>
    <x v="0"/>
    <s v="Medium"/>
    <x v="20"/>
    <m/>
    <s v="DEV started"/>
    <m/>
    <m/>
    <x v="2"/>
    <s v="Pending - Waiting for the confirmation from Lanto Merch"/>
    <m/>
  </r>
  <r>
    <x v="0"/>
    <s v="25789"/>
    <m/>
    <x v="131"/>
    <x v="21"/>
    <s v="In house"/>
    <s v="CRP"/>
    <s v="Dani"/>
    <s v="Vonjy"/>
    <x v="0"/>
    <s v="High"/>
    <x v="21"/>
    <m/>
    <s v="RFC approved"/>
    <m/>
    <m/>
    <x v="5"/>
    <m/>
    <s v="To be decided whether to Cancel or not"/>
  </r>
  <r>
    <x v="0"/>
    <m/>
    <m/>
    <x v="132"/>
    <x v="12"/>
    <s v="In house"/>
    <s v="CRP"/>
    <s v="Dani"/>
    <s v="Vonjy"/>
    <x v="0"/>
    <s v="High"/>
    <x v="21"/>
    <m/>
    <s v="RFC approved"/>
    <m/>
    <m/>
    <x v="5"/>
    <s v="RFC done. Priority to be defined. To be done after Digitalization of Inbound courrier"/>
    <s v="To be decided whether to Cancel or not"/>
  </r>
  <r>
    <x v="0"/>
    <m/>
    <m/>
    <x v="133"/>
    <x v="22"/>
    <s v="In house"/>
    <s v="SEAM"/>
    <s v="Dani"/>
    <s v="Helly"/>
    <x v="0"/>
    <s v="Low"/>
    <x v="0"/>
    <m/>
    <s v="Go live"/>
    <m/>
    <d v="2024-01-11T00:00:00"/>
    <x v="3"/>
    <m/>
    <m/>
  </r>
  <r>
    <x v="0"/>
    <m/>
    <m/>
    <x v="134"/>
    <x v="8"/>
    <s v="In house"/>
    <s v="CRP"/>
    <s v="Dani"/>
    <s v="Mina"/>
    <x v="0"/>
    <s v="Medium"/>
    <x v="0"/>
    <m/>
    <s v="Go live"/>
    <m/>
    <d v="2025-07-01T00:00:00"/>
    <x v="3"/>
    <s v="One part already GoLive, another part waiting for RFC"/>
    <s v="Another part "/>
  </r>
  <r>
    <x v="0"/>
    <m/>
    <m/>
    <x v="135"/>
    <x v="23"/>
    <s v="In house"/>
    <s v="CRP"/>
    <s v="Dani"/>
    <s v="Vonjy"/>
    <x v="0"/>
    <s v="Low"/>
    <x v="0"/>
    <m/>
    <s v="Go live"/>
    <m/>
    <d v="2024-05-01T00:00:00"/>
    <x v="3"/>
    <s v="RFC and process under discussion"/>
    <m/>
  </r>
  <r>
    <x v="0"/>
    <m/>
    <m/>
    <x v="136"/>
    <x v="20"/>
    <s v="In house"/>
    <s v="CRP"/>
    <s v="Dani"/>
    <s v="Antoine"/>
    <x v="0"/>
    <s v="Low"/>
    <x v="22"/>
    <m/>
    <s v="DEV started"/>
    <m/>
    <m/>
    <x v="2"/>
    <s v="Pending - Waiting for Trump decision at the end of July"/>
    <m/>
  </r>
  <r>
    <x v="0"/>
    <m/>
    <m/>
    <x v="137"/>
    <x v="24"/>
    <s v="In house"/>
    <s v="CRP"/>
    <s v="Dani"/>
    <s v="Dieudonné"/>
    <x v="0"/>
    <s v="High"/>
    <x v="0"/>
    <m/>
    <s v="Cancelled"/>
    <m/>
    <m/>
    <x v="1"/>
    <s v="Revised RFC under preparation after meeting with IT"/>
    <m/>
  </r>
  <r>
    <x v="0"/>
    <m/>
    <m/>
    <x v="138"/>
    <x v="21"/>
    <s v="In house"/>
    <s v="CRP"/>
    <s v="Dani"/>
    <s v="Vonjy"/>
    <x v="0"/>
    <s v="Medium"/>
    <x v="0"/>
    <m/>
    <s v="Waiting RFC"/>
    <m/>
    <m/>
    <x v="1"/>
    <s v="RFC to be validated"/>
    <m/>
  </r>
  <r>
    <x v="0"/>
    <m/>
    <m/>
    <x v="139"/>
    <x v="25"/>
    <s v="In house"/>
    <s v="CRP"/>
    <s v="Dani"/>
    <s v="Antoine"/>
    <x v="0"/>
    <s v="Low"/>
    <x v="0"/>
    <m/>
    <s v="Cancelled"/>
    <m/>
    <m/>
    <x v="1"/>
    <s v="RFC to be discussed"/>
    <m/>
  </r>
  <r>
    <x v="0"/>
    <s v="27355"/>
    <m/>
    <x v="140"/>
    <x v="15"/>
    <s v="In house"/>
    <s v="CRP"/>
    <s v="Dani"/>
    <s v="Tina"/>
    <x v="0"/>
    <s v="High"/>
    <x v="0"/>
    <m/>
    <s v="Go live"/>
    <m/>
    <d v="2025-02-05T00:00:00"/>
    <x v="3"/>
    <s v="Waiting for the data entered by ENG"/>
    <m/>
  </r>
  <r>
    <x v="0"/>
    <s v="29047"/>
    <m/>
    <x v="141"/>
    <x v="12"/>
    <s v="In house"/>
    <s v="CRP"/>
    <s v="Dani"/>
    <s v="Vony"/>
    <x v="0"/>
    <s v="Medium"/>
    <x v="20"/>
    <m/>
    <s v="Go live"/>
    <m/>
    <d v="2025-06-01T00:00:00"/>
    <x v="3"/>
    <m/>
    <m/>
  </r>
  <r>
    <x v="0"/>
    <s v="30925"/>
    <m/>
    <x v="142"/>
    <x v="8"/>
    <s v="In house"/>
    <s v="CRP"/>
    <s v="Dani"/>
    <s v="Hasina"/>
    <x v="0"/>
    <s v="High"/>
    <x v="23"/>
    <m/>
    <s v="Go live"/>
    <m/>
    <d v="2025-05-15T00:00:00"/>
    <x v="3"/>
    <s v="RFC revised by Mina &amp; Hasina"/>
    <m/>
  </r>
  <r>
    <x v="0"/>
    <s v="31094"/>
    <m/>
    <x v="143"/>
    <x v="24"/>
    <s v="In house"/>
    <s v="Payroll"/>
    <s v="Dani"/>
    <s v="Sariaka"/>
    <x v="0"/>
    <s v="Low"/>
    <x v="17"/>
    <m/>
    <s v="Go live"/>
    <m/>
    <d v="2025-04-11T00:00:00"/>
    <x v="3"/>
    <m/>
    <m/>
  </r>
  <r>
    <x v="0"/>
    <s v="31225"/>
    <m/>
    <x v="144"/>
    <x v="8"/>
    <s v="In house"/>
    <s v="CRP"/>
    <s v="Dani"/>
    <s v="Mina"/>
    <x v="0"/>
    <s v="Medium"/>
    <x v="24"/>
    <m/>
    <s v="Go live"/>
    <m/>
    <d v="2025-04-23T00:00:00"/>
    <x v="3"/>
    <s v="Just wit for the test validation of Mina and Vonjy"/>
    <m/>
  </r>
  <r>
    <x v="0"/>
    <s v="31404"/>
    <m/>
    <x v="145"/>
    <x v="26"/>
    <s v="In house"/>
    <s v="CRP"/>
    <s v="Dani"/>
    <s v="Hoby"/>
    <x v="0"/>
    <s v="Medium"/>
    <x v="24"/>
    <m/>
    <s v="Go live"/>
    <m/>
    <d v="2025-04-23T00:00:00"/>
    <x v="3"/>
    <s v="Just wit for the test validation of Mina and Vonjy"/>
    <m/>
  </r>
  <r>
    <x v="0"/>
    <m/>
    <m/>
    <x v="146"/>
    <x v="27"/>
    <s v="In house"/>
    <s v="CRP"/>
    <s v="Dani"/>
    <s v="Vickram"/>
    <x v="0"/>
    <s v="High"/>
    <x v="0"/>
    <m/>
    <s v="Cancelled"/>
    <m/>
    <m/>
    <x v="1"/>
    <s v="Not GO"/>
    <m/>
  </r>
  <r>
    <x v="0"/>
    <s v="31225"/>
    <m/>
    <x v="147"/>
    <x v="20"/>
    <s v="In house"/>
    <s v="CRP"/>
    <s v="Dani"/>
    <s v="Nanté"/>
    <x v="0"/>
    <s v="Medium"/>
    <x v="22"/>
    <m/>
    <s v="Go live"/>
    <m/>
    <d v="2025-06-30T00:00:00"/>
    <x v="3"/>
    <m/>
    <m/>
  </r>
  <r>
    <x v="0"/>
    <s v="30909"/>
    <m/>
    <x v="148"/>
    <x v="28"/>
    <s v="In house"/>
    <s v="SEAM"/>
    <s v="Dani"/>
    <s v="Helly"/>
    <x v="0"/>
    <s v="Medium"/>
    <x v="23"/>
    <m/>
    <s v="Go live"/>
    <m/>
    <d v="2025-03-07T00:00:00"/>
    <x v="3"/>
    <m/>
    <m/>
  </r>
  <r>
    <x v="0"/>
    <s v="30961"/>
    <m/>
    <x v="149"/>
    <x v="8"/>
    <s v="In house"/>
    <s v="CRP"/>
    <s v="Dani"/>
    <s v="Hasina"/>
    <x v="0"/>
    <s v="Medium"/>
    <x v="0"/>
    <m/>
    <s v="Go live"/>
    <m/>
    <d v="2025-03-21T00:00:00"/>
    <x v="3"/>
    <m/>
    <m/>
  </r>
  <r>
    <x v="0"/>
    <m/>
    <m/>
    <x v="150"/>
    <x v="26"/>
    <s v="In house"/>
    <s v="CRP"/>
    <s v="Dani"/>
    <s v="Hoby"/>
    <x v="0"/>
    <s v="Medium"/>
    <x v="0"/>
    <m/>
    <s v="Go live"/>
    <m/>
    <d v="2025-03-15T00:00:00"/>
    <x v="3"/>
    <m/>
    <m/>
  </r>
  <r>
    <x v="0"/>
    <s v="25060"/>
    <m/>
    <x v="151"/>
    <x v="29"/>
    <s v="In house"/>
    <s v="CRP"/>
    <s v="Fetra"/>
    <s v="Patrick"/>
    <x v="0"/>
    <s v="Medium"/>
    <x v="0"/>
    <m/>
    <s v="Go live"/>
    <m/>
    <d v="2024-05-06T00:00:00"/>
    <x v="3"/>
    <m/>
    <m/>
  </r>
  <r>
    <x v="0"/>
    <s v="25116"/>
    <m/>
    <x v="152"/>
    <x v="24"/>
    <s v="In house"/>
    <s v="Payroll"/>
    <s v="Dani"/>
    <s v="DD"/>
    <x v="0"/>
    <s v="Low"/>
    <x v="0"/>
    <m/>
    <s v="Go live"/>
    <m/>
    <d v="2024-02-21T00:00:00"/>
    <x v="3"/>
    <m/>
    <m/>
  </r>
  <r>
    <x v="0"/>
    <s v="25393"/>
    <m/>
    <x v="153"/>
    <x v="8"/>
    <s v="In house"/>
    <s v="CRP"/>
    <s v="Dani"/>
    <s v="Mina"/>
    <x v="0"/>
    <s v="Low"/>
    <x v="0"/>
    <m/>
    <s v="Go live"/>
    <m/>
    <d v="2024-03-12T00:00:00"/>
    <x v="3"/>
    <m/>
    <m/>
  </r>
  <r>
    <x v="0"/>
    <s v="28465"/>
    <m/>
    <x v="154"/>
    <x v="20"/>
    <s v="In house"/>
    <s v="CRP"/>
    <s v="Dani"/>
    <s v="Antoine"/>
    <x v="0"/>
    <s v="Low"/>
    <x v="0"/>
    <m/>
    <s v="Go live"/>
    <m/>
    <d v="2024-10-14T00:00:00"/>
    <x v="3"/>
    <m/>
    <m/>
  </r>
  <r>
    <x v="0"/>
    <s v="25790"/>
    <m/>
    <x v="155"/>
    <x v="28"/>
    <s v="In house"/>
    <s v="CRP"/>
    <s v="Dani"/>
    <s v="Tovo"/>
    <x v="0"/>
    <s v="Medium"/>
    <x v="0"/>
    <m/>
    <s v="Go live"/>
    <m/>
    <d v="2024-04-03T00:00:00"/>
    <x v="3"/>
    <m/>
    <m/>
  </r>
  <r>
    <x v="0"/>
    <s v="25922"/>
    <m/>
    <x v="156"/>
    <x v="5"/>
    <s v="In house"/>
    <s v="CRP"/>
    <s v="Dani"/>
    <s v="Zo"/>
    <x v="0"/>
    <s v="High"/>
    <x v="0"/>
    <m/>
    <s v="Go live"/>
    <m/>
    <d v="2024-04-25T00:00:00"/>
    <x v="3"/>
    <m/>
    <m/>
  </r>
  <r>
    <x v="0"/>
    <s v="25980"/>
    <m/>
    <x v="157"/>
    <x v="20"/>
    <s v="In house"/>
    <s v="CRP"/>
    <s v="Dani"/>
    <s v="Dani"/>
    <x v="0"/>
    <s v="Medium"/>
    <x v="0"/>
    <m/>
    <s v="Go live"/>
    <m/>
    <d v="2024-04-03T00:00:00"/>
    <x v="3"/>
    <m/>
    <m/>
  </r>
  <r>
    <x v="0"/>
    <s v="26228"/>
    <m/>
    <x v="158"/>
    <x v="21"/>
    <s v="In house"/>
    <s v="CRP"/>
    <s v="Dani"/>
    <s v="Vonjy"/>
    <x v="0"/>
    <s v="Medium"/>
    <x v="0"/>
    <m/>
    <s v="Go live"/>
    <m/>
    <d v="2024-05-03T00:00:00"/>
    <x v="3"/>
    <m/>
    <m/>
  </r>
  <r>
    <x v="0"/>
    <s v="26267"/>
    <m/>
    <x v="159"/>
    <x v="8"/>
    <s v="In house"/>
    <s v="CRP"/>
    <s v="Dani"/>
    <s v="Mina"/>
    <x v="0"/>
    <s v="Low"/>
    <x v="0"/>
    <m/>
    <s v="Go live"/>
    <m/>
    <d v="2024-05-03T00:00:00"/>
    <x v="3"/>
    <m/>
    <m/>
  </r>
  <r>
    <x v="0"/>
    <s v="26440"/>
    <m/>
    <x v="160"/>
    <x v="28"/>
    <s v="In house"/>
    <s v="SEAM"/>
    <s v="Dani"/>
    <s v="Helly"/>
    <x v="0"/>
    <s v="Medium"/>
    <x v="0"/>
    <m/>
    <s v="Go live"/>
    <m/>
    <d v="2025-01-03T00:00:00"/>
    <x v="3"/>
    <m/>
    <m/>
  </r>
  <r>
    <x v="0"/>
    <s v="26642"/>
    <m/>
    <x v="161"/>
    <x v="8"/>
    <s v="In house"/>
    <s v="CRP"/>
    <s v="Dani"/>
    <s v="Mina"/>
    <x v="0"/>
    <s v="Low"/>
    <x v="0"/>
    <m/>
    <s v="Go live"/>
    <m/>
    <d v="2024-07-02T00:00:00"/>
    <x v="3"/>
    <m/>
    <m/>
  </r>
  <r>
    <x v="0"/>
    <s v="26884"/>
    <m/>
    <x v="162"/>
    <x v="28"/>
    <s v="In house"/>
    <s v="CRP"/>
    <s v="Dani"/>
    <s v="Solo"/>
    <x v="0"/>
    <s v="Medium"/>
    <x v="0"/>
    <m/>
    <s v="Go live"/>
    <m/>
    <d v="2024-11-14T00:00:00"/>
    <x v="3"/>
    <m/>
    <m/>
  </r>
  <r>
    <x v="0"/>
    <s v="27055"/>
    <m/>
    <x v="163"/>
    <x v="8"/>
    <s v="In house"/>
    <s v="CRP"/>
    <s v="Dani"/>
    <s v="Mina"/>
    <x v="0"/>
    <s v="Medium"/>
    <x v="0"/>
    <m/>
    <s v="Go live"/>
    <m/>
    <d v="2024-06-17T00:00:00"/>
    <x v="3"/>
    <m/>
    <m/>
  </r>
  <r>
    <x v="0"/>
    <s v="27275"/>
    <m/>
    <x v="164"/>
    <x v="26"/>
    <s v="In house"/>
    <s v="CRP"/>
    <s v="Dani"/>
    <s v="Hoby"/>
    <x v="0"/>
    <s v="High"/>
    <x v="0"/>
    <m/>
    <s v="Go live"/>
    <m/>
    <d v="2024-09-10T00:00:00"/>
    <x v="3"/>
    <m/>
    <m/>
  </r>
  <r>
    <x v="0"/>
    <s v="27355"/>
    <m/>
    <x v="165"/>
    <x v="15"/>
    <s v="In house"/>
    <s v="CRP"/>
    <s v="Dani"/>
    <s v="Dani"/>
    <x v="0"/>
    <s v="High"/>
    <x v="0"/>
    <m/>
    <s v="Go live"/>
    <m/>
    <d v="2025-03-20T00:00:00"/>
    <x v="3"/>
    <m/>
    <m/>
  </r>
  <r>
    <x v="0"/>
    <s v="27483"/>
    <m/>
    <x v="166"/>
    <x v="21"/>
    <s v="In house"/>
    <s v="CRP"/>
    <s v="Dani"/>
    <s v="Vonjy"/>
    <x v="0"/>
    <s v="Medium"/>
    <x v="0"/>
    <m/>
    <s v="Go live"/>
    <m/>
    <d v="2024-07-30T00:00:00"/>
    <x v="3"/>
    <m/>
    <m/>
  </r>
  <r>
    <x v="0"/>
    <s v="28404"/>
    <m/>
    <x v="167"/>
    <x v="21"/>
    <s v="In house"/>
    <s v="CRP"/>
    <s v="Dani"/>
    <s v="Vonjy"/>
    <x v="0"/>
    <s v="Medium"/>
    <x v="0"/>
    <m/>
    <s v="Go live"/>
    <m/>
    <d v="2024-10-29T00:00:00"/>
    <x v="3"/>
    <m/>
    <m/>
  </r>
  <r>
    <x v="0"/>
    <s v="28545"/>
    <m/>
    <x v="168"/>
    <x v="20"/>
    <s v="In house"/>
    <s v="CRP"/>
    <s v="Dani"/>
    <s v="Nanté"/>
    <x v="0"/>
    <s v="Low"/>
    <x v="0"/>
    <m/>
    <s v="Go live"/>
    <m/>
    <d v="2024-10-07T00:00:00"/>
    <x v="3"/>
    <m/>
    <m/>
  </r>
  <r>
    <x v="0"/>
    <s v="28621"/>
    <m/>
    <x v="169"/>
    <x v="24"/>
    <s v="In house"/>
    <s v="Payroll"/>
    <s v="Dani"/>
    <s v="DD"/>
    <x v="0"/>
    <s v="Low"/>
    <x v="0"/>
    <m/>
    <s v="Go live"/>
    <m/>
    <d v="2024-10-30T00:00:00"/>
    <x v="3"/>
    <m/>
    <m/>
  </r>
  <r>
    <x v="0"/>
    <s v="28731"/>
    <m/>
    <x v="170"/>
    <x v="26"/>
    <s v="In house"/>
    <s v="CRP"/>
    <s v="Dani"/>
    <s v="Hoby"/>
    <x v="0"/>
    <s v="Medium"/>
    <x v="0"/>
    <m/>
    <s v="Go live"/>
    <m/>
    <d v="2024-11-14T00:00:00"/>
    <x v="3"/>
    <m/>
    <m/>
  </r>
  <r>
    <x v="0"/>
    <s v="29178"/>
    <m/>
    <x v="171"/>
    <x v="28"/>
    <s v="In house"/>
    <s v="SEAM"/>
    <s v="Dani"/>
    <s v="Helly"/>
    <x v="0"/>
    <s v="Low"/>
    <x v="23"/>
    <m/>
    <s v="Go live"/>
    <m/>
    <d v="2024-12-03T00:00:00"/>
    <x v="3"/>
    <m/>
    <m/>
  </r>
  <r>
    <x v="0"/>
    <s v="29241"/>
    <m/>
    <x v="172"/>
    <x v="8"/>
    <s v="In house"/>
    <s v="CRP"/>
    <s v="Dani"/>
    <s v="Hoby"/>
    <x v="0"/>
    <s v="Medium"/>
    <x v="0"/>
    <m/>
    <s v="Go live"/>
    <m/>
    <d v="2024-11-19T00:00:00"/>
    <x v="3"/>
    <m/>
    <m/>
  </r>
  <r>
    <x v="0"/>
    <s v="29347"/>
    <m/>
    <x v="173"/>
    <x v="15"/>
    <s v="In house"/>
    <s v="CRP"/>
    <s v="Dani"/>
    <s v="Tina"/>
    <x v="0"/>
    <s v="Medium"/>
    <x v="0"/>
    <m/>
    <s v="Go live"/>
    <m/>
    <d v="2025-01-06T00:00:00"/>
    <x v="3"/>
    <m/>
    <m/>
  </r>
  <r>
    <x v="0"/>
    <s v="29683"/>
    <m/>
    <x v="174"/>
    <x v="15"/>
    <s v="In house"/>
    <s v="CRP"/>
    <s v="Dani"/>
    <s v="Dani"/>
    <x v="0"/>
    <s v="Medium"/>
    <x v="0"/>
    <m/>
    <s v="Go live"/>
    <m/>
    <d v="2025-01-08T00:00:00"/>
    <x v="3"/>
    <m/>
    <m/>
  </r>
  <r>
    <x v="0"/>
    <s v="29770"/>
    <m/>
    <x v="175"/>
    <x v="28"/>
    <s v="In house"/>
    <s v="CRP"/>
    <s v="Dani"/>
    <s v="Dani"/>
    <x v="0"/>
    <s v="Medium"/>
    <x v="0"/>
    <m/>
    <s v="Go live"/>
    <m/>
    <d v="2025-02-03T00:00:00"/>
    <x v="3"/>
    <m/>
    <m/>
  </r>
  <r>
    <x v="0"/>
    <s v="29844"/>
    <m/>
    <x v="176"/>
    <x v="21"/>
    <s v="In house"/>
    <s v="CRP"/>
    <s v="Dani"/>
    <s v="Vonjy"/>
    <x v="0"/>
    <s v="Low"/>
    <x v="0"/>
    <m/>
    <s v="Go live"/>
    <m/>
    <d v="2025-01-14T00:00:00"/>
    <x v="3"/>
    <m/>
    <m/>
  </r>
  <r>
    <x v="1"/>
    <m/>
    <m/>
    <x v="177"/>
    <x v="30"/>
    <s v="In house"/>
    <s v="WEB"/>
    <s v="Narindra"/>
    <m/>
    <x v="3"/>
    <m/>
    <x v="0"/>
    <m/>
    <s v="Waiting RFC"/>
    <m/>
    <m/>
    <x v="1"/>
    <m/>
    <m/>
  </r>
  <r>
    <x v="0"/>
    <s v="31445"/>
    <m/>
    <x v="178"/>
    <x v="8"/>
    <s v="In house"/>
    <s v="CRP"/>
    <s v="Dani"/>
    <s v="Hasina"/>
    <x v="0"/>
    <s v="Medium"/>
    <x v="25"/>
    <m/>
    <s v="Go live"/>
    <m/>
    <d v="2025-05-01T00:00:00"/>
    <x v="3"/>
    <m/>
    <m/>
  </r>
  <r>
    <x v="0"/>
    <s v="31930"/>
    <m/>
    <x v="179"/>
    <x v="20"/>
    <s v="In house"/>
    <s v="CRP"/>
    <s v="Dani"/>
    <s v="Antoine"/>
    <x v="0"/>
    <s v="Medium"/>
    <x v="25"/>
    <m/>
    <s v="Go live"/>
    <m/>
    <d v="2025-05-16T00:00:00"/>
    <x v="3"/>
    <m/>
    <m/>
  </r>
  <r>
    <x v="0"/>
    <m/>
    <m/>
    <x v="180"/>
    <x v="28"/>
    <s v="In house"/>
    <s v="CRP/SEAM/PR"/>
    <s v="Dani"/>
    <s v="Helly"/>
    <x v="0"/>
    <s v="Medium"/>
    <x v="26"/>
    <m/>
    <s v="Go live"/>
    <m/>
    <d v="2025-05-26T00:00:00"/>
    <x v="3"/>
    <m/>
    <m/>
  </r>
  <r>
    <x v="0"/>
    <s v="32099"/>
    <m/>
    <x v="181"/>
    <x v="28"/>
    <s v="In house"/>
    <s v="CRP"/>
    <s v="Dani"/>
    <s v="Dani"/>
    <x v="0"/>
    <s v="Medium"/>
    <x v="27"/>
    <m/>
    <s v="Go live"/>
    <m/>
    <d v="2025-06-02T00:00:00"/>
    <x v="3"/>
    <m/>
    <m/>
  </r>
  <r>
    <x v="0"/>
    <m/>
    <s v="SG010"/>
    <x v="182"/>
    <x v="15"/>
    <s v="In house"/>
    <s v="CRP"/>
    <s v="Narindra"/>
    <s v="Tiana"/>
    <x v="3"/>
    <m/>
    <x v="0"/>
    <m/>
    <s v="Go live"/>
    <d v="2025-08-12T00:00:00"/>
    <d v="2025-09-05T00:00:00"/>
    <x v="3"/>
    <m/>
    <m/>
  </r>
  <r>
    <x v="0"/>
    <m/>
    <s v="SG010"/>
    <x v="183"/>
    <x v="28"/>
    <s v="In house"/>
    <s v="WEB"/>
    <s v="Narindra"/>
    <s v="Solotiana"/>
    <x v="3"/>
    <m/>
    <x v="0"/>
    <m/>
    <s v="Testing"/>
    <d v="2025-08-28T00:00:00"/>
    <m/>
    <x v="4"/>
    <m/>
    <m/>
  </r>
  <r>
    <x v="2"/>
    <m/>
    <m/>
    <x v="184"/>
    <x v="14"/>
    <m/>
    <m/>
    <m/>
    <m/>
    <x v="0"/>
    <m/>
    <x v="0"/>
    <m/>
    <m/>
    <m/>
    <m/>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AC34A9-D71D-43D8-AFE6-DE9E7B466E8C}" name="Tableau croisé dynamique1" cacheId="54" applyNumberFormats="0" applyBorderFormats="0" applyFontFormats="0" applyPatternFormats="0" applyAlignmentFormats="0" applyWidthHeightFormats="1" dataCaption="Valeurs" updatedVersion="8" minRefreshableVersion="3" useAutoFormatting="1" itemPrintTitles="1" createdVersion="7" indent="0" outline="1" outlineData="1" multipleFieldFilters="0">
  <location ref="A6:B16" firstHeaderRow="1" firstDataRow="1" firstDataCol="1" rowPageCount="4" colPageCount="1"/>
  <pivotFields count="19">
    <pivotField axis="axisPage" multipleItemSelectionAllowed="1" showAll="0">
      <items count="4">
        <item x="1"/>
        <item h="1" x="2"/>
        <item h="1" x="0"/>
        <item t="default"/>
      </items>
    </pivotField>
    <pivotField dataField="1" showAll="0"/>
    <pivotField showAll="0"/>
    <pivotField axis="axisRow" showAll="0">
      <items count="203">
        <item x="44"/>
        <item x="88"/>
        <item x="84"/>
        <item x="2"/>
        <item x="86"/>
        <item x="87"/>
        <item x="12"/>
        <item x="5"/>
        <item x="31"/>
        <item x="53"/>
        <item x="3"/>
        <item x="28"/>
        <item x="47"/>
        <item x="50"/>
        <item x="49"/>
        <item x="42"/>
        <item x="9"/>
        <item x="18"/>
        <item x="10"/>
        <item x="7"/>
        <item x="11"/>
        <item x="41"/>
        <item x="1"/>
        <item x="40"/>
        <item x="52"/>
        <item x="13"/>
        <item x="26"/>
        <item x="39"/>
        <item x="184"/>
        <item m="1" x="186"/>
        <item m="1" x="194"/>
        <item m="1" x="199"/>
        <item m="1" x="197"/>
        <item m="1" x="187"/>
        <item m="1" x="188"/>
        <item m="1" x="191"/>
        <item m="1" x="193"/>
        <item m="1" x="190"/>
        <item x="130"/>
        <item m="1" x="198"/>
        <item m="1" x="185"/>
        <item x="129"/>
        <item m="1" x="201"/>
        <item x="123"/>
        <item x="133"/>
        <item x="134"/>
        <item x="135"/>
        <item x="131"/>
        <item m="1" x="192"/>
        <item x="132"/>
        <item x="137"/>
        <item x="138"/>
        <item x="139"/>
        <item x="14"/>
        <item x="15"/>
        <item x="30"/>
        <item x="33"/>
        <item x="37"/>
        <item x="48"/>
        <item x="89"/>
        <item x="90"/>
        <item x="91"/>
        <item x="92"/>
        <item x="93"/>
        <item x="94"/>
        <item x="95"/>
        <item x="96"/>
        <item x="97"/>
        <item x="99"/>
        <item x="21"/>
        <item x="51"/>
        <item x="63"/>
        <item x="98"/>
        <item x="16"/>
        <item x="85"/>
        <item x="56"/>
        <item x="105"/>
        <item x="106"/>
        <item x="107"/>
        <item x="108"/>
        <item x="109"/>
        <item x="58"/>
        <item x="60"/>
        <item x="110"/>
        <item x="111"/>
        <item x="112"/>
        <item x="36"/>
        <item x="38"/>
        <item x="43"/>
        <item x="46"/>
        <item x="61"/>
        <item x="100"/>
        <item x="101"/>
        <item x="102"/>
        <item x="103"/>
        <item x="104"/>
        <item x="114"/>
        <item m="1" x="196"/>
        <item x="116"/>
        <item x="122"/>
        <item x="124"/>
        <item m="1" x="189"/>
        <item m="1" x="195"/>
        <item x="125"/>
        <item x="126"/>
        <item x="127"/>
        <item x="128"/>
        <item x="113"/>
        <item x="65"/>
        <item x="19"/>
        <item x="20"/>
        <item x="22"/>
        <item x="117"/>
        <item m="1" x="200"/>
        <item x="23"/>
        <item x="24"/>
        <item x="25"/>
        <item x="0"/>
        <item x="27"/>
        <item x="29"/>
        <item x="32"/>
        <item x="4"/>
        <item x="6"/>
        <item x="8"/>
        <item x="17"/>
        <item x="34"/>
        <item x="35"/>
        <item x="45"/>
        <item x="54"/>
        <item x="55"/>
        <item x="57"/>
        <item x="59"/>
        <item x="62"/>
        <item x="64"/>
        <item x="66"/>
        <item x="67"/>
        <item x="68"/>
        <item x="69"/>
        <item x="70"/>
        <item x="71"/>
        <item x="72"/>
        <item x="73"/>
        <item x="74"/>
        <item x="75"/>
        <item x="76"/>
        <item x="77"/>
        <item x="78"/>
        <item x="79"/>
        <item x="80"/>
        <item x="81"/>
        <item x="82"/>
        <item x="83"/>
        <item x="115"/>
        <item x="118"/>
        <item x="119"/>
        <item x="120"/>
        <item x="121"/>
        <item x="136"/>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axis="axisRow" showAll="0">
      <items count="33">
        <item sd="0" x="3"/>
        <item sd="0" x="2"/>
        <item sd="0" x="4"/>
        <item sd="0" x="12"/>
        <item sd="0" x="9"/>
        <item sd="0" x="1"/>
        <item sd="0" x="7"/>
        <item sd="0" x="6"/>
        <item sd="0" x="5"/>
        <item sd="0" x="14"/>
        <item sd="0" x="25"/>
        <item sd="0" x="20"/>
        <item sd="0" x="28"/>
        <item sd="0" x="29"/>
        <item sd="0" x="15"/>
        <item sd="0" x="26"/>
        <item sd="0" x="23"/>
        <item sd="0" x="8"/>
        <item sd="0" m="1" x="31"/>
        <item sd="0" x="22"/>
        <item sd="0" x="21"/>
        <item sd="0" x="24"/>
        <item x="13"/>
        <item x="16"/>
        <item x="17"/>
        <item x="18"/>
        <item x="19"/>
        <item sd="0" x="11"/>
        <item x="0"/>
        <item x="10"/>
        <item x="27"/>
        <item x="30"/>
        <item t="default"/>
      </items>
    </pivotField>
    <pivotField showAll="0"/>
    <pivotField showAll="0"/>
    <pivotField showAll="0"/>
    <pivotField showAll="0"/>
    <pivotField axis="axisPage" showAll="0">
      <items count="11">
        <item x="4"/>
        <item x="3"/>
        <item x="7"/>
        <item x="2"/>
        <item x="5"/>
        <item x="6"/>
        <item x="0"/>
        <item x="8"/>
        <item x="1"/>
        <item x="9"/>
        <item t="default"/>
      </items>
    </pivotField>
    <pivotField showAll="0"/>
    <pivotField axis="axisPage" showAll="0">
      <items count="30">
        <item x="1"/>
        <item x="3"/>
        <item x="0"/>
        <item x="5"/>
        <item x="7"/>
        <item x="8"/>
        <item x="9"/>
        <item x="19"/>
        <item x="11"/>
        <item x="14"/>
        <item m="1" x="28"/>
        <item x="6"/>
        <item x="12"/>
        <item x="2"/>
        <item x="4"/>
        <item x="10"/>
        <item x="13"/>
        <item x="15"/>
        <item x="16"/>
        <item x="17"/>
        <item x="18"/>
        <item x="20"/>
        <item x="21"/>
        <item x="22"/>
        <item x="23"/>
        <item x="24"/>
        <item x="25"/>
        <item x="26"/>
        <item x="27"/>
        <item t="default"/>
      </items>
    </pivotField>
    <pivotField showAll="0"/>
    <pivotField showAll="0"/>
    <pivotField showAll="0"/>
    <pivotField showAll="0"/>
    <pivotField axis="axisPage" multipleItemSelectionAllowed="1" showAll="0">
      <items count="8">
        <item h="1" x="1"/>
        <item h="1" x="5"/>
        <item h="1" x="2"/>
        <item x="4"/>
        <item x="3"/>
        <item h="1" x="6"/>
        <item x="0"/>
        <item t="default"/>
      </items>
    </pivotField>
    <pivotField showAll="0"/>
    <pivotField showAll="0"/>
  </pivotFields>
  <rowFields count="2">
    <field x="4"/>
    <field x="3"/>
  </rowFields>
  <rowItems count="10">
    <i>
      <x/>
    </i>
    <i>
      <x v="1"/>
    </i>
    <i>
      <x v="2"/>
    </i>
    <i>
      <x v="4"/>
    </i>
    <i>
      <x v="6"/>
    </i>
    <i>
      <x v="8"/>
    </i>
    <i>
      <x v="27"/>
    </i>
    <i>
      <x v="29"/>
    </i>
    <i r="1">
      <x v="133"/>
    </i>
    <i t="grand">
      <x/>
    </i>
  </rowItems>
  <colItems count="1">
    <i/>
  </colItems>
  <pageFields count="4">
    <pageField fld="0" hier="-1"/>
    <pageField fld="9" hier="-1"/>
    <pageField fld="11" hier="-1"/>
    <pageField fld="16" hier="-1"/>
  </pageFields>
  <dataFields count="1">
    <dataField name="Somme de Ticket #" fld="1" baseField="4" baseItem="0"/>
  </dataFields>
  <formats count="3">
    <format dxfId="2">
      <pivotArea dataOnly="0" labelOnly="1" fieldPosition="0">
        <references count="1">
          <reference field="16" count="3">
            <x v="1"/>
            <x v="2"/>
            <x v="3"/>
          </reference>
        </references>
      </pivotArea>
    </format>
    <format dxfId="1">
      <pivotArea dataOnly="0" labelOnly="1" fieldPosition="0">
        <references count="1">
          <reference field="16" count="1">
            <x v="4"/>
          </reference>
        </references>
      </pivotArea>
    </format>
    <format dxfId="0">
      <pivotArea dataOnly="0" labelOnly="1" fieldPosition="0">
        <references count="1">
          <reference field="16"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042898-9FC8-4524-AC6E-0763926843DB}" name="TStatus" displayName="TStatus" ref="G1:H17" totalsRowShown="0">
  <autoFilter ref="G1:H17" xr:uid="{82042898-9FC8-4524-AC6E-0763926843DB}"/>
  <tableColumns count="2">
    <tableColumn id="1" xr3:uid="{00ADC7F6-40C0-47BA-B1A3-FC8FDDC8E282}" name="Type Projet"/>
    <tableColumn id="2" xr3:uid="{C0DB2990-1351-409E-8D51-811DBC12D03A}" name="Status"/>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C587-EF77-4673-82CC-0222B170C6CB}">
  <dimension ref="A1:I17"/>
  <sheetViews>
    <sheetView workbookViewId="0">
      <selection activeCell="A7" sqref="A7"/>
    </sheetView>
  </sheetViews>
  <sheetFormatPr baseColWidth="10" defaultRowHeight="14.4" x14ac:dyDescent="0.3"/>
  <cols>
    <col min="6" max="6" width="6.5546875" bestFit="1" customWidth="1"/>
    <col min="7" max="7" width="12.44140625" customWidth="1"/>
    <col min="8" max="8" width="20.44140625" bestFit="1" customWidth="1"/>
    <col min="10" max="10" width="20.44140625" bestFit="1" customWidth="1"/>
  </cols>
  <sheetData>
    <row r="1" spans="1:9" x14ac:dyDescent="0.3">
      <c r="A1" t="s">
        <v>78</v>
      </c>
      <c r="B1" t="s">
        <v>99</v>
      </c>
      <c r="C1" t="s">
        <v>81</v>
      </c>
      <c r="D1" t="s">
        <v>12</v>
      </c>
      <c r="E1" t="s">
        <v>5</v>
      </c>
      <c r="F1" t="s">
        <v>140</v>
      </c>
      <c r="G1" t="s">
        <v>89</v>
      </c>
      <c r="H1" t="s">
        <v>82</v>
      </c>
      <c r="I1" t="s">
        <v>83</v>
      </c>
    </row>
    <row r="2" spans="1:9" x14ac:dyDescent="0.3">
      <c r="A2" t="s">
        <v>79</v>
      </c>
      <c r="B2" t="s">
        <v>90</v>
      </c>
      <c r="C2" t="s">
        <v>86</v>
      </c>
      <c r="D2" t="s">
        <v>13</v>
      </c>
      <c r="E2" t="s">
        <v>6</v>
      </c>
      <c r="F2">
        <v>0</v>
      </c>
      <c r="G2" t="s">
        <v>90</v>
      </c>
      <c r="H2" t="s">
        <v>187</v>
      </c>
      <c r="I2">
        <v>0</v>
      </c>
    </row>
    <row r="3" spans="1:9" x14ac:dyDescent="0.3">
      <c r="A3" t="s">
        <v>180</v>
      </c>
      <c r="B3" t="s">
        <v>91</v>
      </c>
      <c r="C3" t="s">
        <v>87</v>
      </c>
      <c r="D3" t="s">
        <v>31</v>
      </c>
      <c r="E3" t="s">
        <v>84</v>
      </c>
      <c r="F3">
        <v>1</v>
      </c>
      <c r="G3" t="s">
        <v>90</v>
      </c>
      <c r="H3" t="s">
        <v>184</v>
      </c>
      <c r="I3">
        <v>20</v>
      </c>
    </row>
    <row r="4" spans="1:9" x14ac:dyDescent="0.3">
      <c r="A4" t="s">
        <v>188</v>
      </c>
      <c r="C4" t="s">
        <v>88</v>
      </c>
      <c r="D4" t="s">
        <v>14</v>
      </c>
      <c r="E4" t="s">
        <v>34</v>
      </c>
      <c r="F4">
        <v>2</v>
      </c>
      <c r="G4" t="s">
        <v>90</v>
      </c>
      <c r="H4" t="s">
        <v>185</v>
      </c>
      <c r="I4">
        <v>30</v>
      </c>
    </row>
    <row r="5" spans="1:9" x14ac:dyDescent="0.3">
      <c r="A5" t="s">
        <v>254</v>
      </c>
      <c r="C5" t="s">
        <v>142</v>
      </c>
      <c r="D5" t="s">
        <v>23</v>
      </c>
      <c r="E5" t="s">
        <v>7</v>
      </c>
      <c r="F5">
        <v>3</v>
      </c>
      <c r="G5" t="s">
        <v>90</v>
      </c>
      <c r="H5" t="s">
        <v>182</v>
      </c>
      <c r="I5">
        <v>80</v>
      </c>
    </row>
    <row r="6" spans="1:9" x14ac:dyDescent="0.3">
      <c r="A6" t="s">
        <v>776</v>
      </c>
      <c r="C6" t="s">
        <v>143</v>
      </c>
      <c r="D6" t="s">
        <v>15</v>
      </c>
      <c r="E6" t="s">
        <v>29</v>
      </c>
      <c r="F6">
        <v>4</v>
      </c>
      <c r="G6" t="s">
        <v>90</v>
      </c>
      <c r="H6" t="s">
        <v>181</v>
      </c>
      <c r="I6">
        <v>90</v>
      </c>
    </row>
    <row r="7" spans="1:9" x14ac:dyDescent="0.3">
      <c r="C7" t="s">
        <v>190</v>
      </c>
      <c r="D7" t="s">
        <v>17</v>
      </c>
      <c r="E7" t="s">
        <v>8</v>
      </c>
      <c r="F7">
        <v>5</v>
      </c>
      <c r="G7" t="s">
        <v>90</v>
      </c>
      <c r="H7" t="s">
        <v>144</v>
      </c>
      <c r="I7">
        <v>100</v>
      </c>
    </row>
    <row r="8" spans="1:9" x14ac:dyDescent="0.3">
      <c r="C8" t="s">
        <v>192</v>
      </c>
      <c r="D8" t="s">
        <v>85</v>
      </c>
      <c r="G8" t="s">
        <v>91</v>
      </c>
      <c r="H8" t="s">
        <v>92</v>
      </c>
      <c r="I8">
        <v>0</v>
      </c>
    </row>
    <row r="9" spans="1:9" x14ac:dyDescent="0.3">
      <c r="G9" t="s">
        <v>91</v>
      </c>
      <c r="H9" t="s">
        <v>93</v>
      </c>
      <c r="I9">
        <v>30</v>
      </c>
    </row>
    <row r="10" spans="1:9" x14ac:dyDescent="0.3">
      <c r="G10" t="s">
        <v>91</v>
      </c>
      <c r="H10" t="s">
        <v>94</v>
      </c>
      <c r="I10">
        <v>50</v>
      </c>
    </row>
    <row r="11" spans="1:9" x14ac:dyDescent="0.3">
      <c r="G11" t="s">
        <v>91</v>
      </c>
      <c r="H11" t="s">
        <v>95</v>
      </c>
      <c r="I11">
        <v>60</v>
      </c>
    </row>
    <row r="12" spans="1:9" x14ac:dyDescent="0.3">
      <c r="G12" t="s">
        <v>91</v>
      </c>
      <c r="H12" t="s">
        <v>96</v>
      </c>
      <c r="I12">
        <v>70</v>
      </c>
    </row>
    <row r="13" spans="1:9" x14ac:dyDescent="0.3">
      <c r="G13" t="s">
        <v>91</v>
      </c>
      <c r="H13" t="s">
        <v>97</v>
      </c>
      <c r="I13">
        <v>80</v>
      </c>
    </row>
    <row r="14" spans="1:9" x14ac:dyDescent="0.3">
      <c r="G14" t="s">
        <v>91</v>
      </c>
      <c r="H14" t="s">
        <v>98</v>
      </c>
      <c r="I14">
        <v>90</v>
      </c>
    </row>
    <row r="15" spans="1:9" x14ac:dyDescent="0.3">
      <c r="G15" t="s">
        <v>91</v>
      </c>
      <c r="H15" t="s">
        <v>144</v>
      </c>
      <c r="I15">
        <v>95</v>
      </c>
    </row>
    <row r="16" spans="1:9" x14ac:dyDescent="0.3">
      <c r="G16" t="s">
        <v>91</v>
      </c>
      <c r="H16" t="s">
        <v>206</v>
      </c>
      <c r="I16">
        <v>100</v>
      </c>
    </row>
    <row r="17" spans="7:9" x14ac:dyDescent="0.3">
      <c r="G17" t="s">
        <v>90</v>
      </c>
      <c r="H17" t="s">
        <v>426</v>
      </c>
      <c r="I17">
        <v>0</v>
      </c>
    </row>
  </sheetData>
  <pageMargins left="0.7" right="0.7" top="0.75" bottom="0.75" header="0.3" footer="0.3"/>
  <pageSetup paperSize="9" orientation="portrait" r:id="rId1"/>
  <customProperties>
    <customPr name="QAA_DRILLPATH_NODE_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A9" sqref="A9"/>
    </sheetView>
  </sheetViews>
  <sheetFormatPr baseColWidth="10" defaultColWidth="10.5546875" defaultRowHeight="14.4" x14ac:dyDescent="0.3"/>
  <cols>
    <col min="1" max="1" width="20.44140625" bestFit="1" customWidth="1"/>
    <col min="2" max="2" width="21" bestFit="1" customWidth="1"/>
    <col min="3" max="5" width="4.44140625" customWidth="1"/>
    <col min="6" max="6" width="5.44140625" customWidth="1"/>
    <col min="7" max="7" width="4.44140625" customWidth="1"/>
    <col min="8" max="8" width="11.5546875" customWidth="1"/>
    <col min="9" max="9" width="4.44140625" customWidth="1"/>
    <col min="10" max="10" width="4.44140625" bestFit="1" customWidth="1"/>
    <col min="11" max="11" width="5.44140625" bestFit="1" customWidth="1"/>
    <col min="12" max="12" width="11.5546875" bestFit="1" customWidth="1"/>
    <col min="13" max="13" width="3.5546875" bestFit="1" customWidth="1"/>
    <col min="14" max="14" width="11.5546875" bestFit="1" customWidth="1"/>
    <col min="15" max="16" width="4.44140625" bestFit="1" customWidth="1"/>
    <col min="17" max="17" width="5.44140625" bestFit="1" customWidth="1"/>
    <col min="18" max="18" width="5.5546875" bestFit="1" customWidth="1"/>
    <col min="19" max="19" width="11.5546875" bestFit="1" customWidth="1"/>
  </cols>
  <sheetData>
    <row r="1" spans="1:2" x14ac:dyDescent="0.3">
      <c r="A1" s="2" t="s">
        <v>78</v>
      </c>
      <c r="B1" t="s">
        <v>79</v>
      </c>
    </row>
    <row r="2" spans="1:2" x14ac:dyDescent="0.3">
      <c r="A2" s="2" t="s">
        <v>1</v>
      </c>
      <c r="B2" t="s">
        <v>139</v>
      </c>
    </row>
    <row r="3" spans="1:2" x14ac:dyDescent="0.3">
      <c r="A3" s="2" t="s">
        <v>73</v>
      </c>
      <c r="B3" t="s">
        <v>139</v>
      </c>
    </row>
    <row r="4" spans="1:2" x14ac:dyDescent="0.3">
      <c r="A4" s="2" t="s">
        <v>10</v>
      </c>
      <c r="B4" t="s">
        <v>354</v>
      </c>
    </row>
    <row r="6" spans="1:2" x14ac:dyDescent="0.3">
      <c r="A6" s="2" t="s">
        <v>53</v>
      </c>
      <c r="B6" t="s">
        <v>353</v>
      </c>
    </row>
    <row r="7" spans="1:2" x14ac:dyDescent="0.3">
      <c r="A7" s="3" t="s">
        <v>13</v>
      </c>
      <c r="B7">
        <v>19</v>
      </c>
    </row>
    <row r="8" spans="1:2" x14ac:dyDescent="0.3">
      <c r="A8" s="3" t="s">
        <v>14</v>
      </c>
      <c r="B8">
        <v>29</v>
      </c>
    </row>
    <row r="9" spans="1:2" x14ac:dyDescent="0.3">
      <c r="A9" s="3" t="s">
        <v>31</v>
      </c>
      <c r="B9">
        <v>4</v>
      </c>
    </row>
    <row r="10" spans="1:2" x14ac:dyDescent="0.3">
      <c r="A10" s="3" t="s">
        <v>23</v>
      </c>
      <c r="B10">
        <v>2</v>
      </c>
    </row>
    <row r="11" spans="1:2" x14ac:dyDescent="0.3">
      <c r="A11" s="3" t="s">
        <v>229</v>
      </c>
      <c r="B11">
        <v>1</v>
      </c>
    </row>
    <row r="12" spans="1:2" x14ac:dyDescent="0.3">
      <c r="A12" s="3" t="s">
        <v>16</v>
      </c>
      <c r="B12">
        <v>3</v>
      </c>
    </row>
    <row r="13" spans="1:2" x14ac:dyDescent="0.3">
      <c r="A13" s="3" t="s">
        <v>297</v>
      </c>
      <c r="B13">
        <v>1</v>
      </c>
    </row>
    <row r="14" spans="1:2" x14ac:dyDescent="0.3">
      <c r="A14" s="3" t="s">
        <v>379</v>
      </c>
    </row>
    <row r="15" spans="1:2" x14ac:dyDescent="0.3">
      <c r="A15" s="42" t="s">
        <v>378</v>
      </c>
    </row>
    <row r="16" spans="1:2" x14ac:dyDescent="0.3">
      <c r="A16" s="3" t="s">
        <v>54</v>
      </c>
      <c r="B16">
        <v>59</v>
      </c>
    </row>
  </sheetData>
  <pageMargins left="0.7" right="0.7" top="0.75" bottom="0.75" header="0.3" footer="0.3"/>
  <customProperties>
    <customPr name="QAA_DRILLPATH_NODE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47"/>
  <sheetViews>
    <sheetView tabSelected="1" zoomScale="80" zoomScaleNormal="80" workbookViewId="0">
      <pane xSplit="3" ySplit="1" topLeftCell="D119" activePane="bottomRight" state="frozen"/>
      <selection pane="topRight" activeCell="B1" sqref="B1"/>
      <selection pane="bottomLeft" activeCell="A2" sqref="A2"/>
      <selection pane="bottomRight" activeCell="O129" sqref="O129"/>
    </sheetView>
  </sheetViews>
  <sheetFormatPr baseColWidth="10" defaultColWidth="8.5546875" defaultRowHeight="14.4" x14ac:dyDescent="0.3"/>
  <cols>
    <col min="1" max="1" width="12.5546875" style="19" bestFit="1" customWidth="1"/>
    <col min="2" max="2" width="11" style="64" bestFit="1" customWidth="1"/>
    <col min="3" max="3" width="8.5546875" style="7" bestFit="1" customWidth="1"/>
    <col min="4" max="4" width="57.5546875" style="24" customWidth="1"/>
    <col min="5" max="5" width="20.44140625" style="7" customWidth="1"/>
    <col min="6" max="6" width="11.44140625" style="7" bestFit="1" customWidth="1"/>
    <col min="7" max="7" width="14.77734375" style="7" bestFit="1" customWidth="1"/>
    <col min="8" max="8" width="25.77734375" style="7" customWidth="1"/>
    <col min="9" max="9" width="10" style="7" customWidth="1"/>
    <col min="10" max="10" width="9.44140625" style="7" bestFit="1" customWidth="1"/>
    <col min="11" max="11" width="11.5546875" style="7" customWidth="1"/>
    <col min="12" max="12" width="11.44140625" style="15" customWidth="1"/>
    <col min="13" max="13" width="13.44140625" style="7" hidden="1" customWidth="1"/>
    <col min="14" max="14" width="13.44140625" style="7" bestFit="1" customWidth="1"/>
    <col min="15" max="15" width="12.44140625" style="37" bestFit="1" customWidth="1"/>
    <col min="16" max="16" width="11.44140625" style="32" bestFit="1" customWidth="1"/>
    <col min="17" max="17" width="8.21875" style="13" bestFit="1" customWidth="1"/>
    <col min="18" max="18" width="55.5546875" style="41" customWidth="1"/>
    <col min="19" max="19" width="60.77734375" style="102" customWidth="1"/>
    <col min="20" max="16384" width="8.5546875" style="104"/>
  </cols>
  <sheetData>
    <row r="1" spans="1:19" s="103" customFormat="1" ht="28.8" x14ac:dyDescent="0.3">
      <c r="A1" s="5" t="s">
        <v>78</v>
      </c>
      <c r="B1" s="60" t="s">
        <v>80</v>
      </c>
      <c r="C1" s="8" t="s">
        <v>0</v>
      </c>
      <c r="D1" s="22" t="s">
        <v>720</v>
      </c>
      <c r="E1" s="8" t="s">
        <v>12</v>
      </c>
      <c r="F1" s="5" t="s">
        <v>99</v>
      </c>
      <c r="G1" s="5" t="s">
        <v>740</v>
      </c>
      <c r="H1" s="8" t="s">
        <v>5</v>
      </c>
      <c r="I1" s="8" t="s">
        <v>11</v>
      </c>
      <c r="J1" s="8" t="s">
        <v>1</v>
      </c>
      <c r="K1" s="8" t="s">
        <v>439</v>
      </c>
      <c r="L1" s="11" t="s">
        <v>73</v>
      </c>
      <c r="M1" s="10" t="s">
        <v>197</v>
      </c>
      <c r="N1" s="10" t="s">
        <v>82</v>
      </c>
      <c r="O1" s="30" t="s">
        <v>28</v>
      </c>
      <c r="P1" s="30" t="s">
        <v>290</v>
      </c>
      <c r="Q1" s="8" t="s">
        <v>10</v>
      </c>
      <c r="R1" s="116" t="s">
        <v>2</v>
      </c>
      <c r="S1" s="86" t="s">
        <v>3</v>
      </c>
    </row>
    <row r="2" spans="1:19" ht="15.6" x14ac:dyDescent="0.3">
      <c r="A2" s="17" t="s">
        <v>79</v>
      </c>
      <c r="B2" s="28">
        <v>1</v>
      </c>
      <c r="C2" s="6" t="s">
        <v>104</v>
      </c>
      <c r="D2" s="9" t="s">
        <v>4</v>
      </c>
      <c r="E2" s="6" t="s">
        <v>15</v>
      </c>
      <c r="F2" s="6" t="s">
        <v>90</v>
      </c>
      <c r="G2" s="6" t="s">
        <v>87</v>
      </c>
      <c r="H2" s="6" t="s">
        <v>7</v>
      </c>
      <c r="I2" s="6" t="s">
        <v>207</v>
      </c>
      <c r="J2" s="6" t="s">
        <v>74</v>
      </c>
      <c r="K2" s="6"/>
      <c r="L2" s="14" t="s">
        <v>74</v>
      </c>
      <c r="M2" s="6" t="s">
        <v>187</v>
      </c>
      <c r="N2" s="6" t="s">
        <v>144</v>
      </c>
      <c r="O2" s="33">
        <v>45684</v>
      </c>
      <c r="P2" s="31">
        <v>45954</v>
      </c>
      <c r="Q2" s="27">
        <f>VLOOKUP(N2,RefData!$H$2:$I$15,2,)/100</f>
        <v>1</v>
      </c>
      <c r="R2" s="117"/>
      <c r="S2" s="1"/>
    </row>
    <row r="3" spans="1:19" ht="40.35" customHeight="1" x14ac:dyDescent="0.3">
      <c r="A3" s="18" t="s">
        <v>79</v>
      </c>
      <c r="B3" s="29">
        <v>1</v>
      </c>
      <c r="C3" s="16" t="s">
        <v>105</v>
      </c>
      <c r="D3" s="25" t="s">
        <v>20</v>
      </c>
      <c r="E3" s="16" t="s">
        <v>14</v>
      </c>
      <c r="F3" s="16" t="s">
        <v>90</v>
      </c>
      <c r="G3" s="16" t="s">
        <v>88</v>
      </c>
      <c r="H3" s="16" t="s">
        <v>34</v>
      </c>
      <c r="I3" s="16" t="s">
        <v>19</v>
      </c>
      <c r="J3" s="16">
        <v>3</v>
      </c>
      <c r="K3" s="16"/>
      <c r="L3" s="20" t="s">
        <v>77</v>
      </c>
      <c r="M3" s="16" t="s">
        <v>98</v>
      </c>
      <c r="N3" s="16" t="s">
        <v>98</v>
      </c>
      <c r="O3" s="16"/>
      <c r="P3" s="40"/>
      <c r="Q3" s="21">
        <f>VLOOKUP(N3,RefData!$H$2:$I$15,2,)/100</f>
        <v>0.9</v>
      </c>
      <c r="R3" s="118" t="s">
        <v>41</v>
      </c>
      <c r="S3" s="4" t="s">
        <v>70</v>
      </c>
    </row>
    <row r="4" spans="1:19" ht="43.2" x14ac:dyDescent="0.3">
      <c r="A4" s="18" t="s">
        <v>79</v>
      </c>
      <c r="B4" s="29">
        <v>1</v>
      </c>
      <c r="C4" s="16" t="s">
        <v>106</v>
      </c>
      <c r="D4" s="25" t="s">
        <v>21</v>
      </c>
      <c r="E4" s="16" t="s">
        <v>14</v>
      </c>
      <c r="F4" s="16" t="s">
        <v>91</v>
      </c>
      <c r="G4" s="16"/>
      <c r="H4" s="16" t="s">
        <v>9</v>
      </c>
      <c r="I4" s="16" t="s">
        <v>22</v>
      </c>
      <c r="J4" s="16">
        <v>1</v>
      </c>
      <c r="K4" s="16"/>
      <c r="L4" s="20" t="s">
        <v>77</v>
      </c>
      <c r="M4" s="16" t="s">
        <v>185</v>
      </c>
      <c r="N4" s="16" t="s">
        <v>185</v>
      </c>
      <c r="O4" s="16"/>
      <c r="P4" s="40"/>
      <c r="Q4" s="21">
        <f>VLOOKUP(N4,RefData!$H$2:$I$15,2,)/100</f>
        <v>0.3</v>
      </c>
      <c r="R4" s="118" t="s">
        <v>69</v>
      </c>
      <c r="S4" s="4"/>
    </row>
    <row r="5" spans="1:19" ht="25.35" customHeight="1" x14ac:dyDescent="0.3">
      <c r="A5" s="17" t="s">
        <v>79</v>
      </c>
      <c r="B5" s="28">
        <v>1</v>
      </c>
      <c r="C5" s="6" t="s">
        <v>124</v>
      </c>
      <c r="D5" s="9" t="s">
        <v>42</v>
      </c>
      <c r="E5" s="6" t="s">
        <v>15</v>
      </c>
      <c r="F5" s="6" t="s">
        <v>90</v>
      </c>
      <c r="G5" s="6" t="s">
        <v>87</v>
      </c>
      <c r="H5" s="6" t="s">
        <v>6</v>
      </c>
      <c r="I5" s="6" t="s">
        <v>207</v>
      </c>
      <c r="J5" s="6" t="s">
        <v>74</v>
      </c>
      <c r="K5" s="6" t="s">
        <v>435</v>
      </c>
      <c r="L5" s="14" t="s">
        <v>74</v>
      </c>
      <c r="M5" s="6" t="s">
        <v>187</v>
      </c>
      <c r="N5" s="6" t="s">
        <v>187</v>
      </c>
      <c r="O5" s="33"/>
      <c r="P5" s="31"/>
      <c r="Q5" s="12">
        <f>VLOOKUP(N5,RefData!$H$2:$I$15,2,)/100</f>
        <v>0</v>
      </c>
      <c r="R5" s="117" t="s">
        <v>293</v>
      </c>
      <c r="S5" s="1"/>
    </row>
    <row r="6" spans="1:19" ht="43.2" x14ac:dyDescent="0.3">
      <c r="A6" s="17" t="s">
        <v>79</v>
      </c>
      <c r="B6" s="28"/>
      <c r="C6" s="6" t="s">
        <v>118</v>
      </c>
      <c r="D6" s="9" t="s">
        <v>30</v>
      </c>
      <c r="E6" s="6" t="s">
        <v>13</v>
      </c>
      <c r="F6" s="6" t="s">
        <v>90</v>
      </c>
      <c r="G6" s="6" t="s">
        <v>87</v>
      </c>
      <c r="H6" s="6" t="s">
        <v>7</v>
      </c>
      <c r="I6" s="6" t="s">
        <v>18</v>
      </c>
      <c r="J6" s="6">
        <v>0</v>
      </c>
      <c r="K6" s="6"/>
      <c r="L6" s="14" t="s">
        <v>74</v>
      </c>
      <c r="M6" s="6" t="s">
        <v>182</v>
      </c>
      <c r="N6" s="6" t="s">
        <v>144</v>
      </c>
      <c r="O6" s="33">
        <v>45376</v>
      </c>
      <c r="P6" s="31">
        <v>45412</v>
      </c>
      <c r="Q6" s="12">
        <f>VLOOKUP(N6,RefData!$H$2:$I$15,2,)/100</f>
        <v>1</v>
      </c>
      <c r="R6" s="117" t="s">
        <v>141</v>
      </c>
      <c r="S6" s="1"/>
    </row>
    <row r="7" spans="1:19" ht="26.55" customHeight="1" x14ac:dyDescent="0.3">
      <c r="A7" s="17" t="s">
        <v>79</v>
      </c>
      <c r="B7" s="28">
        <v>1</v>
      </c>
      <c r="C7" s="6" t="s">
        <v>109</v>
      </c>
      <c r="D7" s="9" t="s">
        <v>24</v>
      </c>
      <c r="E7" s="6" t="s">
        <v>15</v>
      </c>
      <c r="F7" s="6" t="s">
        <v>90</v>
      </c>
      <c r="G7" s="6" t="s">
        <v>87</v>
      </c>
      <c r="H7" s="6" t="s">
        <v>6</v>
      </c>
      <c r="I7" s="6" t="s">
        <v>207</v>
      </c>
      <c r="J7" s="6" t="s">
        <v>74</v>
      </c>
      <c r="K7" s="6" t="s">
        <v>435</v>
      </c>
      <c r="L7" s="14" t="s">
        <v>74</v>
      </c>
      <c r="M7" s="6" t="s">
        <v>187</v>
      </c>
      <c r="N7" s="6" t="s">
        <v>184</v>
      </c>
      <c r="O7" s="33"/>
      <c r="P7" s="31"/>
      <c r="Q7" s="12">
        <f>VLOOKUP(N7,RefData!$H$2:$I$15,2,)/100</f>
        <v>0.2</v>
      </c>
      <c r="R7" s="117" t="s">
        <v>320</v>
      </c>
      <c r="S7" s="1"/>
    </row>
    <row r="8" spans="1:19" ht="15.6" x14ac:dyDescent="0.3">
      <c r="A8" s="18" t="s">
        <v>79</v>
      </c>
      <c r="B8" s="29">
        <v>1</v>
      </c>
      <c r="C8" s="16" t="s">
        <v>110</v>
      </c>
      <c r="D8" s="25" t="s">
        <v>25</v>
      </c>
      <c r="E8" s="16" t="s">
        <v>14</v>
      </c>
      <c r="F8" s="16"/>
      <c r="G8" s="16"/>
      <c r="H8" s="16" t="s">
        <v>9</v>
      </c>
      <c r="I8" s="16" t="s">
        <v>22</v>
      </c>
      <c r="J8" s="16">
        <v>4</v>
      </c>
      <c r="K8" s="16"/>
      <c r="L8" s="20" t="s">
        <v>77</v>
      </c>
      <c r="M8" s="16" t="s">
        <v>187</v>
      </c>
      <c r="N8" s="16" t="s">
        <v>187</v>
      </c>
      <c r="O8" s="16"/>
      <c r="P8" s="40"/>
      <c r="Q8" s="21">
        <f>VLOOKUP(N8,RefData!$H$2:$I$15,2,)/100</f>
        <v>0</v>
      </c>
      <c r="R8" s="118" t="s">
        <v>37</v>
      </c>
      <c r="S8" s="4"/>
    </row>
    <row r="9" spans="1:19" ht="51" customHeight="1" x14ac:dyDescent="0.3">
      <c r="A9" s="18" t="s">
        <v>79</v>
      </c>
      <c r="B9" s="29">
        <v>1</v>
      </c>
      <c r="C9" s="16" t="s">
        <v>111</v>
      </c>
      <c r="D9" s="26" t="s">
        <v>27</v>
      </c>
      <c r="E9" s="16" t="s">
        <v>17</v>
      </c>
      <c r="F9" s="16" t="s">
        <v>90</v>
      </c>
      <c r="G9" s="16" t="s">
        <v>87</v>
      </c>
      <c r="H9" s="16" t="s">
        <v>6</v>
      </c>
      <c r="I9" s="16" t="s">
        <v>26</v>
      </c>
      <c r="J9" s="16">
        <v>2</v>
      </c>
      <c r="K9" s="16"/>
      <c r="L9" s="20" t="s">
        <v>77</v>
      </c>
      <c r="M9" s="6" t="s">
        <v>185</v>
      </c>
      <c r="N9" s="16" t="s">
        <v>185</v>
      </c>
      <c r="O9" s="44"/>
      <c r="P9" s="45"/>
      <c r="Q9" s="21">
        <f>VLOOKUP(N9,RefData!$H$2:$I$15,2,)/100</f>
        <v>0.3</v>
      </c>
      <c r="R9" s="119" t="s">
        <v>361</v>
      </c>
      <c r="S9" s="4"/>
    </row>
    <row r="10" spans="1:19" ht="44.1" customHeight="1" x14ac:dyDescent="0.3">
      <c r="A10" s="17" t="s">
        <v>79</v>
      </c>
      <c r="B10" s="28">
        <v>1</v>
      </c>
      <c r="C10" s="6" t="s">
        <v>112</v>
      </c>
      <c r="D10" s="9" t="s">
        <v>32</v>
      </c>
      <c r="E10" s="6" t="s">
        <v>31</v>
      </c>
      <c r="F10" s="6" t="s">
        <v>90</v>
      </c>
      <c r="G10" s="6" t="s">
        <v>88</v>
      </c>
      <c r="H10" s="6" t="s">
        <v>7</v>
      </c>
      <c r="I10" s="6" t="s">
        <v>6</v>
      </c>
      <c r="J10" s="6"/>
      <c r="K10" s="6" t="s">
        <v>436</v>
      </c>
      <c r="L10" s="14" t="s">
        <v>74</v>
      </c>
      <c r="M10" s="6" t="s">
        <v>185</v>
      </c>
      <c r="N10" s="6" t="s">
        <v>144</v>
      </c>
      <c r="O10" s="33">
        <v>45359</v>
      </c>
      <c r="P10" s="31">
        <v>45762</v>
      </c>
      <c r="Q10" s="12">
        <f>VLOOKUP(N10,RefData!$H$2:$I$15,2,)/100</f>
        <v>1</v>
      </c>
      <c r="R10" s="99" t="s">
        <v>334</v>
      </c>
      <c r="S10" s="1"/>
    </row>
    <row r="11" spans="1:19" ht="15.6" x14ac:dyDescent="0.3">
      <c r="A11" s="17" t="s">
        <v>79</v>
      </c>
      <c r="B11" s="28"/>
      <c r="C11" s="6" t="s">
        <v>113</v>
      </c>
      <c r="D11" s="9" t="s">
        <v>33</v>
      </c>
      <c r="E11" s="6" t="s">
        <v>31</v>
      </c>
      <c r="F11" s="6" t="s">
        <v>90</v>
      </c>
      <c r="G11" s="6" t="s">
        <v>88</v>
      </c>
      <c r="H11" s="6" t="s">
        <v>7</v>
      </c>
      <c r="I11" s="6" t="s">
        <v>6</v>
      </c>
      <c r="J11" s="6"/>
      <c r="K11" s="6" t="s">
        <v>436</v>
      </c>
      <c r="L11" s="14" t="s">
        <v>74</v>
      </c>
      <c r="M11" s="6" t="s">
        <v>185</v>
      </c>
      <c r="N11" s="6" t="s">
        <v>144</v>
      </c>
      <c r="O11" s="33">
        <v>45359</v>
      </c>
      <c r="P11" s="31">
        <v>45762</v>
      </c>
      <c r="Q11" s="12">
        <v>1</v>
      </c>
      <c r="R11" s="99"/>
      <c r="S11" s="1"/>
    </row>
    <row r="12" spans="1:19" ht="25.35" customHeight="1" x14ac:dyDescent="0.3">
      <c r="A12" s="18" t="s">
        <v>79</v>
      </c>
      <c r="B12" s="29">
        <v>1</v>
      </c>
      <c r="C12" s="16" t="s">
        <v>114</v>
      </c>
      <c r="D12" s="25" t="s">
        <v>38</v>
      </c>
      <c r="E12" s="16" t="s">
        <v>14</v>
      </c>
      <c r="F12" s="16"/>
      <c r="G12" s="16"/>
      <c r="H12" s="16" t="s">
        <v>9</v>
      </c>
      <c r="I12" s="16" t="s">
        <v>36</v>
      </c>
      <c r="J12" s="16">
        <v>3</v>
      </c>
      <c r="K12" s="16"/>
      <c r="L12" s="20" t="s">
        <v>77</v>
      </c>
      <c r="M12" s="16" t="s">
        <v>187</v>
      </c>
      <c r="N12" s="16" t="s">
        <v>187</v>
      </c>
      <c r="O12" s="16"/>
      <c r="P12" s="40"/>
      <c r="Q12" s="21">
        <f>VLOOKUP(N12,RefData!$H$2:$I$15,2,)/100</f>
        <v>0</v>
      </c>
      <c r="R12" s="119" t="s">
        <v>47</v>
      </c>
      <c r="S12" s="4"/>
    </row>
    <row r="13" spans="1:19" ht="15.6" x14ac:dyDescent="0.3">
      <c r="A13" s="18" t="s">
        <v>79</v>
      </c>
      <c r="B13" s="29">
        <v>1</v>
      </c>
      <c r="C13" s="16" t="s">
        <v>115</v>
      </c>
      <c r="D13" s="25" t="s">
        <v>39</v>
      </c>
      <c r="E13" s="16" t="s">
        <v>14</v>
      </c>
      <c r="F13" s="16"/>
      <c r="G13" s="16"/>
      <c r="H13" s="16" t="s">
        <v>9</v>
      </c>
      <c r="I13" s="16" t="s">
        <v>48</v>
      </c>
      <c r="J13" s="16">
        <v>5</v>
      </c>
      <c r="K13" s="16"/>
      <c r="L13" s="20" t="s">
        <v>77</v>
      </c>
      <c r="M13" s="16" t="s">
        <v>187</v>
      </c>
      <c r="N13" s="16" t="s">
        <v>187</v>
      </c>
      <c r="O13" s="16"/>
      <c r="P13" s="40"/>
      <c r="Q13" s="21">
        <f>VLOOKUP(N13,RefData!$H$2:$I$15,2,)/100</f>
        <v>0</v>
      </c>
      <c r="R13" s="119" t="s">
        <v>67</v>
      </c>
      <c r="S13" s="4"/>
    </row>
    <row r="14" spans="1:19" ht="36" customHeight="1" x14ac:dyDescent="0.3">
      <c r="A14" s="17" t="s">
        <v>79</v>
      </c>
      <c r="B14" s="28">
        <v>1</v>
      </c>
      <c r="C14" s="6" t="s">
        <v>100</v>
      </c>
      <c r="D14" s="9" t="s">
        <v>72</v>
      </c>
      <c r="E14" s="6" t="s">
        <v>14</v>
      </c>
      <c r="F14" s="6" t="s">
        <v>90</v>
      </c>
      <c r="G14" s="6" t="s">
        <v>87</v>
      </c>
      <c r="H14" s="6" t="s">
        <v>6</v>
      </c>
      <c r="I14" s="6" t="s">
        <v>35</v>
      </c>
      <c r="J14" s="6">
        <v>0</v>
      </c>
      <c r="K14" s="6"/>
      <c r="L14" s="14" t="s">
        <v>74</v>
      </c>
      <c r="M14" s="6" t="s">
        <v>144</v>
      </c>
      <c r="N14" s="6" t="s">
        <v>144</v>
      </c>
      <c r="O14" s="31">
        <v>45412</v>
      </c>
      <c r="P14" s="31">
        <v>45442</v>
      </c>
      <c r="Q14" s="12">
        <f>VLOOKUP(N14,RefData!$H$2:$I$15,2,)/100</f>
        <v>1</v>
      </c>
      <c r="R14" s="99" t="s">
        <v>214</v>
      </c>
      <c r="S14" s="1"/>
    </row>
    <row r="15" spans="1:19" ht="25.35" customHeight="1" x14ac:dyDescent="0.3">
      <c r="A15" s="17" t="s">
        <v>79</v>
      </c>
      <c r="B15" s="28">
        <v>1</v>
      </c>
      <c r="C15" s="6" t="s">
        <v>101</v>
      </c>
      <c r="D15" s="9" t="s">
        <v>220</v>
      </c>
      <c r="E15" s="6" t="s">
        <v>16</v>
      </c>
      <c r="F15" s="6" t="s">
        <v>90</v>
      </c>
      <c r="G15" s="6" t="s">
        <v>87</v>
      </c>
      <c r="H15" s="6" t="s">
        <v>7</v>
      </c>
      <c r="I15" s="6" t="s">
        <v>62</v>
      </c>
      <c r="J15" s="6">
        <v>0</v>
      </c>
      <c r="K15" s="6"/>
      <c r="L15" s="14" t="s">
        <v>74</v>
      </c>
      <c r="M15" s="6" t="s">
        <v>182</v>
      </c>
      <c r="N15" s="6" t="s">
        <v>144</v>
      </c>
      <c r="O15" s="33">
        <v>45369</v>
      </c>
      <c r="P15" s="31">
        <v>45427</v>
      </c>
      <c r="Q15" s="12">
        <f>VLOOKUP(N15,RefData!$H$2:$I$15,2,)/100</f>
        <v>1</v>
      </c>
      <c r="R15" s="99" t="s">
        <v>202</v>
      </c>
      <c r="S15" s="1"/>
    </row>
    <row r="16" spans="1:19" ht="25.35" customHeight="1" x14ac:dyDescent="0.3">
      <c r="A16" s="17" t="s">
        <v>79</v>
      </c>
      <c r="B16" s="28">
        <v>1</v>
      </c>
      <c r="C16" s="6" t="s">
        <v>102</v>
      </c>
      <c r="D16" s="9" t="s">
        <v>221</v>
      </c>
      <c r="E16" s="6" t="s">
        <v>16</v>
      </c>
      <c r="F16" s="6" t="s">
        <v>90</v>
      </c>
      <c r="G16" s="6" t="s">
        <v>88</v>
      </c>
      <c r="H16" s="6" t="s">
        <v>794</v>
      </c>
      <c r="I16" s="6" t="s">
        <v>62</v>
      </c>
      <c r="J16" s="6">
        <v>0</v>
      </c>
      <c r="K16" s="6"/>
      <c r="L16" s="14">
        <v>45397</v>
      </c>
      <c r="M16" s="6" t="s">
        <v>185</v>
      </c>
      <c r="N16" s="6" t="s">
        <v>144</v>
      </c>
      <c r="O16" s="31">
        <v>45327</v>
      </c>
      <c r="P16" s="31">
        <v>45427</v>
      </c>
      <c r="Q16" s="12">
        <f>VLOOKUP(N16,RefData!$H$2:$I$15,2,)/100</f>
        <v>1</v>
      </c>
      <c r="R16" s="99" t="s">
        <v>216</v>
      </c>
      <c r="S16" s="1"/>
    </row>
    <row r="17" spans="1:19" ht="26.1" customHeight="1" x14ac:dyDescent="0.3">
      <c r="A17" s="17" t="s">
        <v>79</v>
      </c>
      <c r="B17" s="28">
        <v>1</v>
      </c>
      <c r="C17" s="6" t="s">
        <v>103</v>
      </c>
      <c r="D17" s="9" t="s">
        <v>218</v>
      </c>
      <c r="E17" s="6" t="s">
        <v>14</v>
      </c>
      <c r="F17" s="6" t="s">
        <v>90</v>
      </c>
      <c r="G17" s="6" t="s">
        <v>87</v>
      </c>
      <c r="H17" s="6" t="s">
        <v>6</v>
      </c>
      <c r="I17" s="6" t="s">
        <v>35</v>
      </c>
      <c r="J17" s="6">
        <v>2</v>
      </c>
      <c r="K17" s="6"/>
      <c r="L17" s="14" t="s">
        <v>74</v>
      </c>
      <c r="M17" s="6" t="s">
        <v>185</v>
      </c>
      <c r="N17" s="6" t="s">
        <v>144</v>
      </c>
      <c r="O17" s="31">
        <v>45330</v>
      </c>
      <c r="P17" s="31">
        <v>45473</v>
      </c>
      <c r="Q17" s="12">
        <f>VLOOKUP(N17,RefData!$H$2:$I$15,2,)/100</f>
        <v>1</v>
      </c>
      <c r="R17" s="99" t="s">
        <v>869</v>
      </c>
      <c r="S17" s="1"/>
    </row>
    <row r="18" spans="1:19" ht="33" customHeight="1" x14ac:dyDescent="0.3">
      <c r="A18" s="18" t="s">
        <v>79</v>
      </c>
      <c r="B18" s="29">
        <v>1</v>
      </c>
      <c r="C18" s="16" t="s">
        <v>219</v>
      </c>
      <c r="D18" s="26" t="s">
        <v>222</v>
      </c>
      <c r="E18" s="16" t="s">
        <v>14</v>
      </c>
      <c r="F18" s="16" t="s">
        <v>90</v>
      </c>
      <c r="G18" s="16" t="s">
        <v>88</v>
      </c>
      <c r="H18" s="16" t="s">
        <v>794</v>
      </c>
      <c r="I18" s="16" t="s">
        <v>71</v>
      </c>
      <c r="J18" s="16">
        <v>2</v>
      </c>
      <c r="K18" s="16"/>
      <c r="L18" s="20" t="s">
        <v>77</v>
      </c>
      <c r="M18" s="6" t="s">
        <v>185</v>
      </c>
      <c r="N18" s="16" t="s">
        <v>182</v>
      </c>
      <c r="O18" s="44"/>
      <c r="P18" s="45"/>
      <c r="Q18" s="21">
        <f>VLOOKUP(N18,RefData!$H$2:$I$15,2,)/100</f>
        <v>0.8</v>
      </c>
      <c r="R18" s="119" t="s">
        <v>215</v>
      </c>
      <c r="S18" s="4"/>
    </row>
    <row r="19" spans="1:19" ht="33" customHeight="1" x14ac:dyDescent="0.3">
      <c r="A19" s="17" t="s">
        <v>79</v>
      </c>
      <c r="B19" s="28">
        <v>1</v>
      </c>
      <c r="C19" s="6" t="s">
        <v>117</v>
      </c>
      <c r="D19" s="9" t="s">
        <v>44</v>
      </c>
      <c r="E19" s="6" t="s">
        <v>31</v>
      </c>
      <c r="F19" s="6" t="s">
        <v>90</v>
      </c>
      <c r="G19" s="6" t="s">
        <v>88</v>
      </c>
      <c r="H19" s="6" t="s">
        <v>7</v>
      </c>
      <c r="I19" s="6" t="s">
        <v>6</v>
      </c>
      <c r="J19" s="6"/>
      <c r="K19" s="6" t="s">
        <v>436</v>
      </c>
      <c r="L19" s="14" t="s">
        <v>74</v>
      </c>
      <c r="M19" s="6" t="s">
        <v>182</v>
      </c>
      <c r="N19" s="6" t="s">
        <v>144</v>
      </c>
      <c r="O19" s="33">
        <v>45810</v>
      </c>
      <c r="P19" s="31">
        <v>45838</v>
      </c>
      <c r="Q19" s="12">
        <f>VLOOKUP(N19,RefData!$H$2:$I$15,2,)/100</f>
        <v>1</v>
      </c>
      <c r="R19" s="99" t="s">
        <v>335</v>
      </c>
      <c r="S19" s="1" t="s">
        <v>650</v>
      </c>
    </row>
    <row r="20" spans="1:19" ht="15.6" x14ac:dyDescent="0.3">
      <c r="A20" s="17" t="s">
        <v>79</v>
      </c>
      <c r="B20" s="28">
        <v>1</v>
      </c>
      <c r="C20" s="6" t="s">
        <v>321</v>
      </c>
      <c r="D20" s="23" t="s">
        <v>322</v>
      </c>
      <c r="E20" s="6" t="s">
        <v>13</v>
      </c>
      <c r="F20" s="6" t="s">
        <v>90</v>
      </c>
      <c r="G20" s="6" t="s">
        <v>87</v>
      </c>
      <c r="H20" s="6" t="s">
        <v>6</v>
      </c>
      <c r="I20" s="6" t="s">
        <v>323</v>
      </c>
      <c r="J20" s="6"/>
      <c r="K20" s="6"/>
      <c r="L20" s="14">
        <v>45604</v>
      </c>
      <c r="M20" s="6"/>
      <c r="N20" s="6" t="s">
        <v>144</v>
      </c>
      <c r="O20" s="33">
        <v>45600</v>
      </c>
      <c r="P20" s="31">
        <v>45602</v>
      </c>
      <c r="Q20" s="12">
        <f>VLOOKUP(N20,RefData!$H$2:$I$15,2,)/100</f>
        <v>1</v>
      </c>
      <c r="R20" s="99"/>
      <c r="S20" s="1"/>
    </row>
    <row r="21" spans="1:19" ht="43.2" x14ac:dyDescent="0.3">
      <c r="A21" s="17" t="s">
        <v>79</v>
      </c>
      <c r="B21" s="28">
        <v>1</v>
      </c>
      <c r="C21" s="6" t="s">
        <v>324</v>
      </c>
      <c r="D21" s="23" t="s">
        <v>325</v>
      </c>
      <c r="E21" s="6" t="s">
        <v>13</v>
      </c>
      <c r="F21" s="6" t="s">
        <v>90</v>
      </c>
      <c r="G21" s="6" t="s">
        <v>87</v>
      </c>
      <c r="H21" s="6" t="s">
        <v>6</v>
      </c>
      <c r="I21" s="6" t="s">
        <v>323</v>
      </c>
      <c r="J21" s="6"/>
      <c r="K21" s="6"/>
      <c r="L21" s="14">
        <v>45604</v>
      </c>
      <c r="M21" s="6"/>
      <c r="N21" s="6" t="s">
        <v>144</v>
      </c>
      <c r="O21" s="33">
        <v>45600</v>
      </c>
      <c r="P21" s="31">
        <v>45602</v>
      </c>
      <c r="Q21" s="12">
        <f>VLOOKUP(N21,RefData!$H$2:$I$15,2,)/100</f>
        <v>1</v>
      </c>
      <c r="R21" s="99"/>
      <c r="S21" s="1"/>
    </row>
    <row r="22" spans="1:19" ht="25.35" customHeight="1" x14ac:dyDescent="0.3">
      <c r="A22" s="17" t="s">
        <v>79</v>
      </c>
      <c r="B22" s="28">
        <v>1</v>
      </c>
      <c r="C22" s="6" t="s">
        <v>131</v>
      </c>
      <c r="D22" s="23" t="s">
        <v>326</v>
      </c>
      <c r="E22" s="6" t="s">
        <v>13</v>
      </c>
      <c r="F22" s="6" t="s">
        <v>90</v>
      </c>
      <c r="G22" s="6" t="s">
        <v>87</v>
      </c>
      <c r="H22" s="6" t="s">
        <v>6</v>
      </c>
      <c r="I22" s="6" t="s">
        <v>323</v>
      </c>
      <c r="J22" s="6"/>
      <c r="K22" s="6"/>
      <c r="L22" s="14">
        <v>45604</v>
      </c>
      <c r="M22" s="6"/>
      <c r="N22" s="6" t="s">
        <v>144</v>
      </c>
      <c r="O22" s="33">
        <v>45600</v>
      </c>
      <c r="P22" s="31">
        <v>45602</v>
      </c>
      <c r="Q22" s="12">
        <f>VLOOKUP(N22,RefData!$H$2:$I$15,2,)/100</f>
        <v>1</v>
      </c>
      <c r="R22" s="99" t="s">
        <v>327</v>
      </c>
      <c r="S22" s="1"/>
    </row>
    <row r="23" spans="1:19" ht="100.8" x14ac:dyDescent="0.3">
      <c r="A23" s="18" t="s">
        <v>79</v>
      </c>
      <c r="B23" s="29">
        <v>1</v>
      </c>
      <c r="C23" s="16" t="s">
        <v>131</v>
      </c>
      <c r="D23" s="25" t="s">
        <v>194</v>
      </c>
      <c r="E23" s="16" t="s">
        <v>14</v>
      </c>
      <c r="F23" s="16" t="s">
        <v>90</v>
      </c>
      <c r="G23" s="16" t="s">
        <v>87</v>
      </c>
      <c r="H23" s="16" t="s">
        <v>6</v>
      </c>
      <c r="I23" s="16" t="s">
        <v>35</v>
      </c>
      <c r="J23" s="16">
        <v>1</v>
      </c>
      <c r="K23" s="16"/>
      <c r="L23" s="20" t="s">
        <v>77</v>
      </c>
      <c r="M23" s="16" t="s">
        <v>185</v>
      </c>
      <c r="N23" s="16" t="s">
        <v>185</v>
      </c>
      <c r="O23" s="35">
        <v>45180</v>
      </c>
      <c r="P23" s="40"/>
      <c r="Q23" s="21">
        <f>VLOOKUP(N23,RefData!$H$2:$I$15,2,)/100</f>
        <v>0.3</v>
      </c>
      <c r="R23" s="119" t="s">
        <v>56</v>
      </c>
      <c r="S23" s="4"/>
    </row>
    <row r="24" spans="1:19" ht="25.35" customHeight="1" x14ac:dyDescent="0.3">
      <c r="A24" s="17" t="s">
        <v>79</v>
      </c>
      <c r="B24" s="28">
        <v>1</v>
      </c>
      <c r="C24" s="6" t="s">
        <v>336</v>
      </c>
      <c r="D24" s="23" t="s">
        <v>337</v>
      </c>
      <c r="E24" s="6" t="s">
        <v>14</v>
      </c>
      <c r="F24" s="6" t="s">
        <v>90</v>
      </c>
      <c r="G24" s="6" t="s">
        <v>87</v>
      </c>
      <c r="H24" s="6" t="s">
        <v>6</v>
      </c>
      <c r="I24" s="6" t="s">
        <v>291</v>
      </c>
      <c r="J24" s="6">
        <v>0</v>
      </c>
      <c r="K24" s="6"/>
      <c r="L24" s="14"/>
      <c r="M24" s="6"/>
      <c r="N24" s="6" t="s">
        <v>144</v>
      </c>
      <c r="O24" s="33">
        <v>45625</v>
      </c>
      <c r="P24" s="33">
        <v>45632</v>
      </c>
      <c r="Q24" s="12">
        <f>VLOOKUP(N24,RefData!$H$2:$I$15,2,)/100</f>
        <v>1</v>
      </c>
      <c r="R24" s="99" t="s">
        <v>338</v>
      </c>
      <c r="S24" s="1"/>
    </row>
    <row r="25" spans="1:19" ht="25.35" customHeight="1" x14ac:dyDescent="0.3">
      <c r="A25" s="17" t="s">
        <v>79</v>
      </c>
      <c r="B25" s="28">
        <v>1</v>
      </c>
      <c r="C25" s="6" t="s">
        <v>339</v>
      </c>
      <c r="D25" s="23" t="s">
        <v>340</v>
      </c>
      <c r="E25" s="6" t="s">
        <v>14</v>
      </c>
      <c r="F25" s="6" t="s">
        <v>90</v>
      </c>
      <c r="G25" s="6" t="s">
        <v>87</v>
      </c>
      <c r="H25" s="6" t="s">
        <v>6</v>
      </c>
      <c r="I25" s="6" t="s">
        <v>291</v>
      </c>
      <c r="J25" s="6">
        <v>0</v>
      </c>
      <c r="K25" s="6"/>
      <c r="L25" s="14"/>
      <c r="M25" s="6"/>
      <c r="N25" s="6" t="s">
        <v>144</v>
      </c>
      <c r="O25" s="33">
        <v>45625</v>
      </c>
      <c r="P25" s="33">
        <v>45632</v>
      </c>
      <c r="Q25" s="12">
        <f>VLOOKUP(N25,RefData!$H$2:$I$15,2,)/100</f>
        <v>1</v>
      </c>
      <c r="R25" s="99" t="s">
        <v>341</v>
      </c>
      <c r="S25" s="1"/>
    </row>
    <row r="26" spans="1:19" ht="28.8" x14ac:dyDescent="0.3">
      <c r="A26" s="17" t="s">
        <v>79</v>
      </c>
      <c r="B26" s="28">
        <v>1</v>
      </c>
      <c r="C26" s="6" t="s">
        <v>342</v>
      </c>
      <c r="D26" s="23" t="s">
        <v>343</v>
      </c>
      <c r="E26" s="6" t="s">
        <v>13</v>
      </c>
      <c r="F26" s="6" t="s">
        <v>90</v>
      </c>
      <c r="G26" s="6" t="s">
        <v>87</v>
      </c>
      <c r="H26" s="6" t="s">
        <v>6</v>
      </c>
      <c r="I26" s="6" t="s">
        <v>291</v>
      </c>
      <c r="J26" s="6">
        <v>0</v>
      </c>
      <c r="K26" s="6"/>
      <c r="L26" s="14"/>
      <c r="M26" s="6"/>
      <c r="N26" s="6" t="s">
        <v>144</v>
      </c>
      <c r="O26" s="33">
        <v>45622</v>
      </c>
      <c r="P26" s="33">
        <v>45632</v>
      </c>
      <c r="Q26" s="12">
        <f>VLOOKUP(N26,RefData!$H$2:$I$15,2,)/100</f>
        <v>1</v>
      </c>
      <c r="R26" s="99"/>
      <c r="S26" s="1"/>
    </row>
    <row r="27" spans="1:19" ht="25.35" customHeight="1" x14ac:dyDescent="0.3">
      <c r="A27" s="18" t="s">
        <v>79</v>
      </c>
      <c r="B27" s="29">
        <v>1</v>
      </c>
      <c r="C27" s="16" t="s">
        <v>119</v>
      </c>
      <c r="D27" s="25" t="s">
        <v>49</v>
      </c>
      <c r="E27" s="16" t="s">
        <v>45</v>
      </c>
      <c r="F27" s="16"/>
      <c r="G27" s="16"/>
      <c r="H27" s="16" t="s">
        <v>7</v>
      </c>
      <c r="I27" s="16" t="s">
        <v>46</v>
      </c>
      <c r="J27" s="16">
        <v>1</v>
      </c>
      <c r="K27" s="16"/>
      <c r="L27" s="20" t="s">
        <v>708</v>
      </c>
      <c r="M27" s="16" t="s">
        <v>187</v>
      </c>
      <c r="N27" s="16" t="s">
        <v>187</v>
      </c>
      <c r="O27" s="16"/>
      <c r="P27" s="40"/>
      <c r="Q27" s="21">
        <f>VLOOKUP(N27,RefData!$H$2:$I$15,2,)/100</f>
        <v>0</v>
      </c>
      <c r="R27" s="119" t="s">
        <v>66</v>
      </c>
      <c r="S27" s="4"/>
    </row>
    <row r="28" spans="1:19" ht="15.6" x14ac:dyDescent="0.3">
      <c r="A28" s="17" t="s">
        <v>79</v>
      </c>
      <c r="B28" s="28">
        <v>1</v>
      </c>
      <c r="C28" s="6" t="s">
        <v>119</v>
      </c>
      <c r="D28" s="23" t="s">
        <v>349</v>
      </c>
      <c r="E28" s="6" t="s">
        <v>13</v>
      </c>
      <c r="F28" s="6" t="s">
        <v>90</v>
      </c>
      <c r="G28" s="6" t="s">
        <v>87</v>
      </c>
      <c r="H28" s="6" t="s">
        <v>6</v>
      </c>
      <c r="I28" s="6" t="s">
        <v>43</v>
      </c>
      <c r="J28" s="6">
        <v>0</v>
      </c>
      <c r="K28" s="6"/>
      <c r="L28" s="14"/>
      <c r="M28" s="6"/>
      <c r="N28" s="6" t="s">
        <v>144</v>
      </c>
      <c r="O28" s="33">
        <v>45642</v>
      </c>
      <c r="P28" s="31">
        <v>45667</v>
      </c>
      <c r="Q28" s="12">
        <f>VLOOKUP(N28,RefData!$H$2:$I$15,2,)/100</f>
        <v>1</v>
      </c>
      <c r="R28" s="99"/>
      <c r="S28" s="1"/>
    </row>
    <row r="29" spans="1:19" ht="25.35" customHeight="1" x14ac:dyDescent="0.3">
      <c r="A29" s="17" t="s">
        <v>79</v>
      </c>
      <c r="B29" s="28">
        <v>1</v>
      </c>
      <c r="C29" s="6" t="s">
        <v>120</v>
      </c>
      <c r="D29" s="9" t="s">
        <v>50</v>
      </c>
      <c r="E29" s="6" t="s">
        <v>13</v>
      </c>
      <c r="F29" s="6" t="s">
        <v>90</v>
      </c>
      <c r="G29" s="6" t="s">
        <v>87</v>
      </c>
      <c r="H29" s="6" t="s">
        <v>8</v>
      </c>
      <c r="I29" s="6" t="s">
        <v>230</v>
      </c>
      <c r="J29" s="6">
        <v>0</v>
      </c>
      <c r="K29" s="6"/>
      <c r="L29" s="14">
        <v>45473</v>
      </c>
      <c r="M29" s="6" t="s">
        <v>187</v>
      </c>
      <c r="N29" s="6" t="s">
        <v>144</v>
      </c>
      <c r="O29" s="33"/>
      <c r="P29" s="31">
        <v>45580</v>
      </c>
      <c r="Q29" s="12">
        <f>VLOOKUP(N29,RefData!$H$2:$I$15,2,)/100</f>
        <v>1</v>
      </c>
      <c r="R29" s="99" t="s">
        <v>292</v>
      </c>
      <c r="S29" s="1"/>
    </row>
    <row r="30" spans="1:19" ht="43.2" x14ac:dyDescent="0.3">
      <c r="A30" s="17" t="s">
        <v>79</v>
      </c>
      <c r="B30" s="28">
        <v>1</v>
      </c>
      <c r="C30" s="6" t="s">
        <v>120</v>
      </c>
      <c r="D30" s="43" t="s">
        <v>351</v>
      </c>
      <c r="E30" s="6" t="s">
        <v>14</v>
      </c>
      <c r="F30" s="6" t="s">
        <v>90</v>
      </c>
      <c r="G30" s="6" t="s">
        <v>87</v>
      </c>
      <c r="H30" s="6" t="s">
        <v>6</v>
      </c>
      <c r="I30" s="6" t="s">
        <v>350</v>
      </c>
      <c r="J30" s="6">
        <v>0</v>
      </c>
      <c r="K30" s="6"/>
      <c r="L30" s="14"/>
      <c r="M30" s="6"/>
      <c r="N30" s="6" t="s">
        <v>144</v>
      </c>
      <c r="O30" s="33">
        <v>45634</v>
      </c>
      <c r="P30" s="31">
        <v>45656</v>
      </c>
      <c r="Q30" s="12">
        <f>VLOOKUP(N30,RefData!$H$2:$I$15,2,)/100</f>
        <v>1</v>
      </c>
      <c r="R30" s="99"/>
      <c r="S30" s="1"/>
    </row>
    <row r="31" spans="1:19" ht="25.35" customHeight="1" x14ac:dyDescent="0.3">
      <c r="A31" s="17" t="s">
        <v>79</v>
      </c>
      <c r="B31" s="28">
        <v>1</v>
      </c>
      <c r="C31" s="6" t="s">
        <v>288</v>
      </c>
      <c r="D31" s="9" t="s">
        <v>245</v>
      </c>
      <c r="E31" s="6" t="s">
        <v>13</v>
      </c>
      <c r="F31" s="6" t="s">
        <v>90</v>
      </c>
      <c r="G31" s="6" t="s">
        <v>87</v>
      </c>
      <c r="H31" s="6" t="s">
        <v>6</v>
      </c>
      <c r="I31" s="6" t="s">
        <v>59</v>
      </c>
      <c r="J31" s="6">
        <v>0</v>
      </c>
      <c r="K31" s="6"/>
      <c r="L31" s="14">
        <v>45565</v>
      </c>
      <c r="M31" s="6"/>
      <c r="N31" s="6" t="s">
        <v>144</v>
      </c>
      <c r="O31" s="33">
        <v>45448</v>
      </c>
      <c r="P31" s="31">
        <v>45473</v>
      </c>
      <c r="Q31" s="27">
        <f>VLOOKUP(N31,RefData!$H$2:$I$15,2,)/100</f>
        <v>1</v>
      </c>
      <c r="R31" s="99" t="s">
        <v>287</v>
      </c>
      <c r="S31" s="1"/>
    </row>
    <row r="32" spans="1:19" ht="25.35" customHeight="1" x14ac:dyDescent="0.3">
      <c r="A32" s="17" t="s">
        <v>79</v>
      </c>
      <c r="B32" s="28">
        <v>1</v>
      </c>
      <c r="C32" s="6" t="s">
        <v>121</v>
      </c>
      <c r="D32" s="9" t="s">
        <v>51</v>
      </c>
      <c r="E32" s="6" t="s">
        <v>13</v>
      </c>
      <c r="F32" s="6" t="s">
        <v>90</v>
      </c>
      <c r="G32" s="6" t="s">
        <v>87</v>
      </c>
      <c r="H32" s="6" t="s">
        <v>8</v>
      </c>
      <c r="I32" s="6" t="s">
        <v>230</v>
      </c>
      <c r="J32" s="6">
        <v>0</v>
      </c>
      <c r="K32" s="6" t="s">
        <v>437</v>
      </c>
      <c r="L32" s="14" t="s">
        <v>74</v>
      </c>
      <c r="M32" s="6" t="s">
        <v>187</v>
      </c>
      <c r="N32" s="6" t="s">
        <v>144</v>
      </c>
      <c r="O32" s="33"/>
      <c r="P32" s="31">
        <v>46022</v>
      </c>
      <c r="Q32" s="12">
        <f>VLOOKUP(N32,RefData!$H$2:$I$15,2,)/100</f>
        <v>1</v>
      </c>
      <c r="R32" s="99" t="s">
        <v>707</v>
      </c>
      <c r="S32" s="1"/>
    </row>
    <row r="33" spans="1:19" ht="28.8" x14ac:dyDescent="0.3">
      <c r="A33" s="17" t="s">
        <v>79</v>
      </c>
      <c r="B33" s="28">
        <v>1</v>
      </c>
      <c r="C33" s="6" t="s">
        <v>121</v>
      </c>
      <c r="D33" s="23" t="s">
        <v>352</v>
      </c>
      <c r="E33" s="6" t="s">
        <v>13</v>
      </c>
      <c r="F33" s="6" t="s">
        <v>90</v>
      </c>
      <c r="G33" s="6" t="s">
        <v>87</v>
      </c>
      <c r="H33" s="6" t="s">
        <v>6</v>
      </c>
      <c r="I33" s="6" t="s">
        <v>43</v>
      </c>
      <c r="J33" s="6">
        <v>1</v>
      </c>
      <c r="K33" s="6"/>
      <c r="L33" s="14"/>
      <c r="M33" s="6"/>
      <c r="N33" s="6" t="s">
        <v>144</v>
      </c>
      <c r="O33" s="33">
        <v>45634</v>
      </c>
      <c r="P33" s="31">
        <v>45664</v>
      </c>
      <c r="Q33" s="12">
        <f>VLOOKUP(N33,RefData!$H$2:$I$15,2,)/100</f>
        <v>1</v>
      </c>
      <c r="R33" s="99"/>
      <c r="S33" s="1"/>
    </row>
    <row r="34" spans="1:19" ht="25.35" customHeight="1" x14ac:dyDescent="0.3">
      <c r="A34" s="17" t="s">
        <v>79</v>
      </c>
      <c r="B34" s="28">
        <v>1</v>
      </c>
      <c r="C34" s="6" t="s">
        <v>122</v>
      </c>
      <c r="D34" s="9" t="s">
        <v>248</v>
      </c>
      <c r="E34" s="6" t="s">
        <v>229</v>
      </c>
      <c r="F34" s="6" t="s">
        <v>90</v>
      </c>
      <c r="G34" s="6" t="s">
        <v>87</v>
      </c>
      <c r="H34" s="6" t="s">
        <v>6</v>
      </c>
      <c r="I34" s="6" t="s">
        <v>291</v>
      </c>
      <c r="J34" s="6">
        <v>0</v>
      </c>
      <c r="K34" s="6" t="s">
        <v>435</v>
      </c>
      <c r="L34" s="14">
        <v>45657</v>
      </c>
      <c r="M34" s="6" t="s">
        <v>187</v>
      </c>
      <c r="N34" s="6" t="s">
        <v>144</v>
      </c>
      <c r="O34" s="33">
        <v>45622</v>
      </c>
      <c r="P34" s="31">
        <v>45820</v>
      </c>
      <c r="Q34" s="27">
        <f>VLOOKUP(N34,RefData!$H$2:$I$15,2,)/100</f>
        <v>1</v>
      </c>
      <c r="R34" s="99" t="s">
        <v>382</v>
      </c>
      <c r="S34" s="1"/>
    </row>
    <row r="35" spans="1:19" ht="28.8" x14ac:dyDescent="0.3">
      <c r="A35" s="17" t="s">
        <v>79</v>
      </c>
      <c r="B35" s="28">
        <v>1</v>
      </c>
      <c r="C35" s="6" t="s">
        <v>122</v>
      </c>
      <c r="D35" s="23" t="s">
        <v>357</v>
      </c>
      <c r="E35" s="6" t="s">
        <v>14</v>
      </c>
      <c r="F35" s="6" t="s">
        <v>90</v>
      </c>
      <c r="G35" s="6" t="s">
        <v>87</v>
      </c>
      <c r="H35" s="6" t="s">
        <v>6</v>
      </c>
      <c r="I35" s="6" t="s">
        <v>62</v>
      </c>
      <c r="J35" s="6">
        <v>0</v>
      </c>
      <c r="K35" s="6" t="s">
        <v>435</v>
      </c>
      <c r="L35" s="14">
        <v>45747</v>
      </c>
      <c r="M35" s="6"/>
      <c r="N35" s="6" t="s">
        <v>144</v>
      </c>
      <c r="O35" s="33">
        <v>45634</v>
      </c>
      <c r="P35" s="31">
        <v>45877</v>
      </c>
      <c r="Q35" s="12">
        <f>VLOOKUP(N35,RefData!$H$2:$I$15,2,)/100</f>
        <v>1</v>
      </c>
      <c r="R35" s="99" t="s">
        <v>360</v>
      </c>
      <c r="S35" s="1"/>
    </row>
    <row r="36" spans="1:19" ht="25.35" customHeight="1" x14ac:dyDescent="0.3">
      <c r="A36" s="17" t="s">
        <v>79</v>
      </c>
      <c r="B36" s="28">
        <v>1</v>
      </c>
      <c r="C36" s="6" t="s">
        <v>358</v>
      </c>
      <c r="D36" s="23" t="s">
        <v>359</v>
      </c>
      <c r="E36" s="6" t="s">
        <v>14</v>
      </c>
      <c r="F36" s="6" t="s">
        <v>90</v>
      </c>
      <c r="G36" s="6" t="s">
        <v>88</v>
      </c>
      <c r="H36" s="6" t="s">
        <v>6</v>
      </c>
      <c r="I36" s="6" t="s">
        <v>62</v>
      </c>
      <c r="J36" s="6">
        <v>0</v>
      </c>
      <c r="K36" s="6" t="s">
        <v>435</v>
      </c>
      <c r="L36" s="14">
        <v>45747</v>
      </c>
      <c r="M36" s="6"/>
      <c r="N36" s="6" t="s">
        <v>144</v>
      </c>
      <c r="O36" s="33">
        <v>45634</v>
      </c>
      <c r="P36" s="31">
        <v>45887</v>
      </c>
      <c r="Q36" s="12">
        <f>VLOOKUP(N36,RefData!$H$2:$I$15,2,)/100</f>
        <v>1</v>
      </c>
      <c r="R36" s="99" t="s">
        <v>368</v>
      </c>
      <c r="S36" s="1"/>
    </row>
    <row r="37" spans="1:19" ht="15.6" x14ac:dyDescent="0.3">
      <c r="A37" s="18" t="s">
        <v>79</v>
      </c>
      <c r="B37" s="29">
        <v>1</v>
      </c>
      <c r="C37" s="16" t="s">
        <v>123</v>
      </c>
      <c r="D37" s="25" t="s">
        <v>193</v>
      </c>
      <c r="E37" s="16" t="s">
        <v>162</v>
      </c>
      <c r="F37" s="16" t="s">
        <v>90</v>
      </c>
      <c r="G37" s="16" t="s">
        <v>88</v>
      </c>
      <c r="H37" s="16" t="s">
        <v>34</v>
      </c>
      <c r="I37" s="16"/>
      <c r="J37" s="16"/>
      <c r="K37" s="16"/>
      <c r="L37" s="20" t="s">
        <v>77</v>
      </c>
      <c r="M37" s="16" t="s">
        <v>187</v>
      </c>
      <c r="N37" s="16" t="s">
        <v>187</v>
      </c>
      <c r="O37" s="36">
        <v>45208</v>
      </c>
      <c r="P37" s="40"/>
      <c r="Q37" s="21">
        <f>VLOOKUP(N37,RefData!$H$2:$I$15,2,)/100</f>
        <v>0</v>
      </c>
      <c r="R37" s="119" t="s">
        <v>68</v>
      </c>
      <c r="S37" s="4" t="s">
        <v>55</v>
      </c>
    </row>
    <row r="38" spans="1:19" ht="25.35" customHeight="1" x14ac:dyDescent="0.3">
      <c r="A38" s="17" t="s">
        <v>79</v>
      </c>
      <c r="B38" s="28">
        <v>1</v>
      </c>
      <c r="C38" s="6" t="s">
        <v>107</v>
      </c>
      <c r="D38" s="9" t="s">
        <v>189</v>
      </c>
      <c r="E38" s="6" t="s">
        <v>13</v>
      </c>
      <c r="F38" s="6" t="s">
        <v>90</v>
      </c>
      <c r="G38" s="6" t="s">
        <v>87</v>
      </c>
      <c r="H38" s="6" t="s">
        <v>6</v>
      </c>
      <c r="I38" s="6" t="s">
        <v>43</v>
      </c>
      <c r="J38" s="6">
        <v>0</v>
      </c>
      <c r="K38" s="6"/>
      <c r="L38" s="14" t="s">
        <v>74</v>
      </c>
      <c r="M38" s="6" t="s">
        <v>184</v>
      </c>
      <c r="N38" s="6" t="s">
        <v>144</v>
      </c>
      <c r="O38" s="33"/>
      <c r="P38" s="31">
        <v>45473</v>
      </c>
      <c r="Q38" s="12">
        <f>VLOOKUP(N38,RefData!$H$2:$I$15,2,)/100</f>
        <v>1</v>
      </c>
      <c r="R38" s="99" t="s">
        <v>75</v>
      </c>
      <c r="S38" s="1"/>
    </row>
    <row r="39" spans="1:19" ht="28.8" x14ac:dyDescent="0.3">
      <c r="A39" s="17" t="s">
        <v>79</v>
      </c>
      <c r="B39" s="28">
        <v>1</v>
      </c>
      <c r="C39" s="6" t="s">
        <v>125</v>
      </c>
      <c r="D39" s="9" t="s">
        <v>224</v>
      </c>
      <c r="E39" s="6" t="s">
        <v>14</v>
      </c>
      <c r="F39" s="6" t="s">
        <v>90</v>
      </c>
      <c r="G39" s="6" t="s">
        <v>88</v>
      </c>
      <c r="H39" s="6" t="s">
        <v>34</v>
      </c>
      <c r="I39" s="6" t="s">
        <v>52</v>
      </c>
      <c r="J39" s="6"/>
      <c r="K39" s="6"/>
      <c r="L39" s="14"/>
      <c r="M39" s="6" t="s">
        <v>144</v>
      </c>
      <c r="N39" s="6" t="s">
        <v>144</v>
      </c>
      <c r="O39" s="33">
        <v>45247</v>
      </c>
      <c r="P39" s="31">
        <v>45369</v>
      </c>
      <c r="Q39" s="12">
        <f>VLOOKUP(N39,RefData!$H$2:$I$15,2,)/100</f>
        <v>1</v>
      </c>
      <c r="R39" s="99"/>
      <c r="S39" s="1"/>
    </row>
    <row r="40" spans="1:19" ht="15.6" x14ac:dyDescent="0.3">
      <c r="A40" s="17" t="s">
        <v>79</v>
      </c>
      <c r="B40" s="28">
        <v>1</v>
      </c>
      <c r="C40" s="6" t="s">
        <v>126</v>
      </c>
      <c r="D40" s="9" t="s">
        <v>57</v>
      </c>
      <c r="E40" s="6" t="s">
        <v>14</v>
      </c>
      <c r="F40" s="6" t="s">
        <v>90</v>
      </c>
      <c r="G40" s="6" t="s">
        <v>87</v>
      </c>
      <c r="H40" s="6" t="s">
        <v>6</v>
      </c>
      <c r="I40" s="6" t="s">
        <v>35</v>
      </c>
      <c r="J40" s="6"/>
      <c r="K40" s="6"/>
      <c r="L40" s="14"/>
      <c r="M40" s="6" t="s">
        <v>144</v>
      </c>
      <c r="N40" s="6" t="s">
        <v>144</v>
      </c>
      <c r="O40" s="33"/>
      <c r="P40" s="31">
        <v>45300</v>
      </c>
      <c r="Q40" s="12">
        <f>VLOOKUP(N40,RefData!$H$2:$I$15,2,)/100</f>
        <v>1</v>
      </c>
      <c r="R40" s="99"/>
      <c r="S40" s="1"/>
    </row>
    <row r="41" spans="1:19" ht="15.6" x14ac:dyDescent="0.3">
      <c r="A41" s="17" t="s">
        <v>79</v>
      </c>
      <c r="B41" s="28">
        <v>1</v>
      </c>
      <c r="C41" s="6" t="s">
        <v>127</v>
      </c>
      <c r="D41" s="9" t="s">
        <v>58</v>
      </c>
      <c r="E41" s="6" t="s">
        <v>13</v>
      </c>
      <c r="F41" s="6" t="s">
        <v>90</v>
      </c>
      <c r="G41" s="6" t="s">
        <v>87</v>
      </c>
      <c r="H41" s="6" t="s">
        <v>6</v>
      </c>
      <c r="I41" s="6" t="s">
        <v>59</v>
      </c>
      <c r="J41" s="6"/>
      <c r="K41" s="6"/>
      <c r="L41" s="14"/>
      <c r="M41" s="6" t="s">
        <v>144</v>
      </c>
      <c r="N41" s="6" t="s">
        <v>144</v>
      </c>
      <c r="O41" s="33"/>
      <c r="P41" s="31">
        <v>45352</v>
      </c>
      <c r="Q41" s="12">
        <f>VLOOKUP(N41,RefData!$H$2:$I$15,2,)/100</f>
        <v>1</v>
      </c>
      <c r="R41" s="99"/>
      <c r="S41" s="1"/>
    </row>
    <row r="42" spans="1:19" ht="28.8" x14ac:dyDescent="0.3">
      <c r="A42" s="17" t="s">
        <v>79</v>
      </c>
      <c r="B42" s="28">
        <v>1</v>
      </c>
      <c r="C42" s="6" t="s">
        <v>128</v>
      </c>
      <c r="D42" s="9" t="s">
        <v>60</v>
      </c>
      <c r="E42" s="6" t="s">
        <v>14</v>
      </c>
      <c r="F42" s="6" t="s">
        <v>90</v>
      </c>
      <c r="G42" s="6" t="s">
        <v>87</v>
      </c>
      <c r="H42" s="6" t="s">
        <v>6</v>
      </c>
      <c r="I42" s="6" t="s">
        <v>40</v>
      </c>
      <c r="J42" s="6"/>
      <c r="K42" s="6"/>
      <c r="L42" s="14"/>
      <c r="M42" s="6" t="s">
        <v>144</v>
      </c>
      <c r="N42" s="6" t="s">
        <v>144</v>
      </c>
      <c r="O42" s="33"/>
      <c r="P42" s="31">
        <v>45324</v>
      </c>
      <c r="Q42" s="12">
        <f>VLOOKUP(N42,RefData!$H$2:$I$15,2,)/100</f>
        <v>1</v>
      </c>
      <c r="R42" s="99"/>
      <c r="S42" s="1"/>
    </row>
    <row r="43" spans="1:19" ht="15.6" x14ac:dyDescent="0.3">
      <c r="A43" s="17" t="s">
        <v>79</v>
      </c>
      <c r="B43" s="28">
        <v>1</v>
      </c>
      <c r="C43" s="6" t="s">
        <v>129</v>
      </c>
      <c r="D43" s="9" t="s">
        <v>61</v>
      </c>
      <c r="E43" s="6" t="s">
        <v>14</v>
      </c>
      <c r="F43" s="6" t="s">
        <v>90</v>
      </c>
      <c r="G43" s="6" t="s">
        <v>87</v>
      </c>
      <c r="H43" s="6" t="s">
        <v>6</v>
      </c>
      <c r="I43" s="6" t="s">
        <v>35</v>
      </c>
      <c r="J43" s="6"/>
      <c r="K43" s="6"/>
      <c r="L43" s="14"/>
      <c r="M43" s="6" t="s">
        <v>144</v>
      </c>
      <c r="N43" s="6" t="s">
        <v>144</v>
      </c>
      <c r="O43" s="33"/>
      <c r="P43" s="31">
        <v>45338</v>
      </c>
      <c r="Q43" s="12">
        <f>VLOOKUP(N43,RefData!$H$2:$I$15,2,)/100</f>
        <v>1</v>
      </c>
      <c r="R43" s="99"/>
      <c r="S43" s="1"/>
    </row>
    <row r="44" spans="1:19" ht="15.6" x14ac:dyDescent="0.3">
      <c r="A44" s="17" t="s">
        <v>79</v>
      </c>
      <c r="B44" s="28">
        <v>1</v>
      </c>
      <c r="C44" s="6" t="s">
        <v>130</v>
      </c>
      <c r="D44" s="9" t="s">
        <v>205</v>
      </c>
      <c r="E44" s="6" t="s">
        <v>31</v>
      </c>
      <c r="F44" s="6" t="s">
        <v>90</v>
      </c>
      <c r="G44" s="6" t="s">
        <v>88</v>
      </c>
      <c r="H44" s="6" t="s">
        <v>84</v>
      </c>
      <c r="I44" s="6" t="s">
        <v>29</v>
      </c>
      <c r="J44" s="6"/>
      <c r="K44" s="6"/>
      <c r="L44" s="14" t="s">
        <v>74</v>
      </c>
      <c r="M44" s="6" t="s">
        <v>182</v>
      </c>
      <c r="N44" s="6" t="s">
        <v>144</v>
      </c>
      <c r="O44" s="33">
        <v>45306</v>
      </c>
      <c r="P44" s="31">
        <v>45658</v>
      </c>
      <c r="Q44" s="12">
        <f>VLOOKUP(N44,RefData!$H$2:$I$15,2,)/100</f>
        <v>1</v>
      </c>
      <c r="R44" s="99"/>
      <c r="S44" s="1"/>
    </row>
    <row r="45" spans="1:19" ht="42" customHeight="1" x14ac:dyDescent="0.3">
      <c r="A45" s="17" t="s">
        <v>79</v>
      </c>
      <c r="B45" s="28">
        <v>1</v>
      </c>
      <c r="C45" s="6" t="s">
        <v>108</v>
      </c>
      <c r="D45" s="23" t="s">
        <v>798</v>
      </c>
      <c r="E45" s="6" t="s">
        <v>14</v>
      </c>
      <c r="F45" s="6" t="s">
        <v>90</v>
      </c>
      <c r="G45" s="6" t="s">
        <v>87</v>
      </c>
      <c r="H45" s="6" t="s">
        <v>6</v>
      </c>
      <c r="I45" s="6" t="s">
        <v>35</v>
      </c>
      <c r="J45" s="6">
        <v>0</v>
      </c>
      <c r="K45" s="6"/>
      <c r="L45" s="14" t="s">
        <v>77</v>
      </c>
      <c r="M45" s="6" t="s">
        <v>187</v>
      </c>
      <c r="N45" s="6" t="s">
        <v>144</v>
      </c>
      <c r="O45" s="34">
        <v>45348</v>
      </c>
      <c r="P45" s="39">
        <v>45442</v>
      </c>
      <c r="Q45" s="27">
        <f>VLOOKUP(N45,RefData!$H$2:$I$15,2,)/100</f>
        <v>1</v>
      </c>
      <c r="R45" s="99"/>
      <c r="S45" s="1"/>
    </row>
    <row r="46" spans="1:19" ht="15.6" x14ac:dyDescent="0.3">
      <c r="A46" s="17" t="s">
        <v>79</v>
      </c>
      <c r="B46" s="28">
        <v>1</v>
      </c>
      <c r="C46" s="6" t="s">
        <v>108</v>
      </c>
      <c r="D46" s="9" t="s">
        <v>355</v>
      </c>
      <c r="E46" s="6" t="s">
        <v>31</v>
      </c>
      <c r="F46" s="6" t="s">
        <v>90</v>
      </c>
      <c r="G46" s="6" t="s">
        <v>88</v>
      </c>
      <c r="H46" s="6" t="s">
        <v>84</v>
      </c>
      <c r="I46" s="6" t="s">
        <v>29</v>
      </c>
      <c r="J46" s="6"/>
      <c r="K46" s="6"/>
      <c r="L46" s="14" t="s">
        <v>74</v>
      </c>
      <c r="M46" s="6" t="s">
        <v>182</v>
      </c>
      <c r="N46" s="6" t="s">
        <v>144</v>
      </c>
      <c r="O46" s="33">
        <v>45306</v>
      </c>
      <c r="P46" s="31">
        <v>45658</v>
      </c>
      <c r="Q46" s="12">
        <f>VLOOKUP(N46,RefData!$H$2:$I$15,2,)/100</f>
        <v>1</v>
      </c>
      <c r="R46" s="99"/>
      <c r="S46" s="1"/>
    </row>
    <row r="47" spans="1:19" ht="15.6" x14ac:dyDescent="0.3">
      <c r="A47" s="17" t="s">
        <v>79</v>
      </c>
      <c r="B47" s="28">
        <v>1</v>
      </c>
      <c r="C47" s="6" t="s">
        <v>132</v>
      </c>
      <c r="D47" s="9" t="s">
        <v>191</v>
      </c>
      <c r="E47" s="6" t="s">
        <v>14</v>
      </c>
      <c r="F47" s="6" t="s">
        <v>90</v>
      </c>
      <c r="G47" s="6" t="s">
        <v>192</v>
      </c>
      <c r="H47" s="6" t="s">
        <v>6</v>
      </c>
      <c r="I47" s="6" t="s">
        <v>62</v>
      </c>
      <c r="J47" s="6"/>
      <c r="K47" s="6"/>
      <c r="L47" s="14"/>
      <c r="M47" s="6" t="s">
        <v>144</v>
      </c>
      <c r="N47" s="6" t="s">
        <v>144</v>
      </c>
      <c r="O47" s="33"/>
      <c r="P47" s="31">
        <v>45366</v>
      </c>
      <c r="Q47" s="12">
        <f>VLOOKUP(N47,RefData!$H$2:$I$15,2,)/100</f>
        <v>1</v>
      </c>
      <c r="R47" s="99"/>
      <c r="S47" s="1"/>
    </row>
    <row r="48" spans="1:19" ht="15.6" x14ac:dyDescent="0.3">
      <c r="A48" s="17" t="s">
        <v>79</v>
      </c>
      <c r="B48" s="28">
        <v>1</v>
      </c>
      <c r="C48" s="6" t="s">
        <v>133</v>
      </c>
      <c r="D48" s="9" t="s">
        <v>63</v>
      </c>
      <c r="E48" s="6" t="s">
        <v>14</v>
      </c>
      <c r="F48" s="6" t="s">
        <v>90</v>
      </c>
      <c r="G48" s="6" t="s">
        <v>87</v>
      </c>
      <c r="H48" s="6" t="s">
        <v>6</v>
      </c>
      <c r="I48" s="6" t="s">
        <v>35</v>
      </c>
      <c r="J48" s="6"/>
      <c r="K48" s="6"/>
      <c r="L48" s="14"/>
      <c r="M48" s="6" t="s">
        <v>144</v>
      </c>
      <c r="N48" s="6" t="s">
        <v>144</v>
      </c>
      <c r="O48" s="33"/>
      <c r="P48" s="31">
        <v>45351</v>
      </c>
      <c r="Q48" s="12">
        <f>VLOOKUP(N48,RefData!$H$2:$I$15,2,)/100</f>
        <v>1</v>
      </c>
      <c r="R48" s="99"/>
      <c r="S48" s="1"/>
    </row>
    <row r="49" spans="1:19" ht="28.8" x14ac:dyDescent="0.3">
      <c r="A49" s="17" t="s">
        <v>79</v>
      </c>
      <c r="B49" s="28">
        <v>1</v>
      </c>
      <c r="C49" s="6" t="s">
        <v>116</v>
      </c>
      <c r="D49" s="9" t="s">
        <v>231</v>
      </c>
      <c r="E49" s="6" t="s">
        <v>14</v>
      </c>
      <c r="F49" s="6" t="s">
        <v>90</v>
      </c>
      <c r="G49" s="6" t="s">
        <v>87</v>
      </c>
      <c r="H49" s="6" t="s">
        <v>6</v>
      </c>
      <c r="I49" s="6" t="s">
        <v>6</v>
      </c>
      <c r="J49" s="6">
        <v>0</v>
      </c>
      <c r="K49" s="6"/>
      <c r="L49" s="14"/>
      <c r="M49" s="6"/>
      <c r="N49" s="6" t="s">
        <v>144</v>
      </c>
      <c r="O49" s="33"/>
      <c r="P49" s="31">
        <v>45473</v>
      </c>
      <c r="Q49" s="12">
        <f>VLOOKUP(N49,RefData!$H$2:$I$15,2,)/100</f>
        <v>1</v>
      </c>
      <c r="R49" s="99"/>
      <c r="S49" s="1"/>
    </row>
    <row r="50" spans="1:19" ht="38.549999999999997" customHeight="1" x14ac:dyDescent="0.3">
      <c r="A50" s="17" t="s">
        <v>79</v>
      </c>
      <c r="B50" s="28">
        <v>1</v>
      </c>
      <c r="C50" s="6" t="s">
        <v>116</v>
      </c>
      <c r="D50" s="9" t="s">
        <v>65</v>
      </c>
      <c r="E50" s="6" t="s">
        <v>13</v>
      </c>
      <c r="F50" s="6" t="s">
        <v>90</v>
      </c>
      <c r="G50" s="6" t="s">
        <v>87</v>
      </c>
      <c r="H50" s="6" t="s">
        <v>6</v>
      </c>
      <c r="I50" s="6" t="s">
        <v>158</v>
      </c>
      <c r="J50" s="6">
        <v>1</v>
      </c>
      <c r="K50" s="6"/>
      <c r="L50" s="14" t="s">
        <v>74</v>
      </c>
      <c r="M50" s="6" t="s">
        <v>187</v>
      </c>
      <c r="N50" s="6" t="s">
        <v>144</v>
      </c>
      <c r="O50" s="33"/>
      <c r="P50" s="31">
        <v>45436</v>
      </c>
      <c r="Q50" s="12">
        <f>VLOOKUP(N50,RefData!$H$2:$I$15,2,)/100</f>
        <v>1</v>
      </c>
      <c r="R50" s="99" t="s">
        <v>223</v>
      </c>
      <c r="S50" s="1"/>
    </row>
    <row r="51" spans="1:19" ht="15.6" x14ac:dyDescent="0.3">
      <c r="A51" s="17" t="s">
        <v>79</v>
      </c>
      <c r="B51" s="28">
        <v>1</v>
      </c>
      <c r="C51" s="6" t="s">
        <v>116</v>
      </c>
      <c r="D51" s="9" t="s">
        <v>64</v>
      </c>
      <c r="E51" s="6" t="s">
        <v>14</v>
      </c>
      <c r="F51" s="6" t="s">
        <v>90</v>
      </c>
      <c r="G51" s="6" t="s">
        <v>87</v>
      </c>
      <c r="H51" s="6" t="s">
        <v>6</v>
      </c>
      <c r="I51" s="6" t="s">
        <v>207</v>
      </c>
      <c r="J51" s="6" t="s">
        <v>74</v>
      </c>
      <c r="K51" s="6"/>
      <c r="L51" s="14" t="s">
        <v>74</v>
      </c>
      <c r="M51" s="6" t="s">
        <v>187</v>
      </c>
      <c r="N51" s="6" t="s">
        <v>144</v>
      </c>
      <c r="O51" s="33">
        <v>45505</v>
      </c>
      <c r="P51" s="31">
        <v>45566</v>
      </c>
      <c r="Q51" s="12">
        <f>VLOOKUP(N51,RefData!$H$2:$I$15,2,)/100</f>
        <v>1</v>
      </c>
      <c r="R51" s="99" t="s">
        <v>294</v>
      </c>
      <c r="S51" s="1"/>
    </row>
    <row r="52" spans="1:19" ht="28.8" x14ac:dyDescent="0.3">
      <c r="A52" s="17" t="s">
        <v>79</v>
      </c>
      <c r="B52" s="28">
        <v>1</v>
      </c>
      <c r="C52" s="6" t="s">
        <v>134</v>
      </c>
      <c r="D52" s="9" t="s">
        <v>240</v>
      </c>
      <c r="E52" s="6" t="s">
        <v>14</v>
      </c>
      <c r="F52" s="6" t="s">
        <v>90</v>
      </c>
      <c r="G52" s="6" t="s">
        <v>87</v>
      </c>
      <c r="H52" s="6" t="s">
        <v>6</v>
      </c>
      <c r="I52" s="6" t="s">
        <v>6</v>
      </c>
      <c r="J52" s="6">
        <v>1</v>
      </c>
      <c r="K52" s="6"/>
      <c r="L52" s="14">
        <v>45505</v>
      </c>
      <c r="M52" s="6"/>
      <c r="N52" s="6" t="s">
        <v>144</v>
      </c>
      <c r="O52" s="33"/>
      <c r="P52" s="31">
        <v>45473</v>
      </c>
      <c r="Q52" s="12">
        <v>1</v>
      </c>
      <c r="R52" s="99" t="s">
        <v>241</v>
      </c>
      <c r="S52" s="1"/>
    </row>
    <row r="53" spans="1:19" ht="45.6" customHeight="1" x14ac:dyDescent="0.3">
      <c r="A53" s="17" t="s">
        <v>79</v>
      </c>
      <c r="B53" s="28">
        <v>1</v>
      </c>
      <c r="C53" s="6" t="s">
        <v>134</v>
      </c>
      <c r="D53" s="9" t="s">
        <v>709</v>
      </c>
      <c r="E53" s="6" t="s">
        <v>13</v>
      </c>
      <c r="F53" s="6" t="s">
        <v>90</v>
      </c>
      <c r="G53" s="6" t="s">
        <v>88</v>
      </c>
      <c r="H53" s="6" t="s">
        <v>794</v>
      </c>
      <c r="I53" s="6" t="s">
        <v>18</v>
      </c>
      <c r="J53" s="6">
        <v>1</v>
      </c>
      <c r="K53" s="6"/>
      <c r="L53" s="14"/>
      <c r="M53" s="6" t="s">
        <v>184</v>
      </c>
      <c r="N53" s="6" t="s">
        <v>144</v>
      </c>
      <c r="O53" s="33">
        <v>45750</v>
      </c>
      <c r="P53" s="31">
        <v>45818</v>
      </c>
      <c r="Q53" s="12">
        <v>1</v>
      </c>
      <c r="R53" s="99" t="s">
        <v>348</v>
      </c>
      <c r="S53" s="1"/>
    </row>
    <row r="54" spans="1:19" ht="28.8" x14ac:dyDescent="0.3">
      <c r="A54" s="17" t="s">
        <v>79</v>
      </c>
      <c r="B54" s="28">
        <v>1</v>
      </c>
      <c r="C54" s="6" t="s">
        <v>135</v>
      </c>
      <c r="D54" s="9" t="s">
        <v>138</v>
      </c>
      <c r="E54" s="6" t="s">
        <v>13</v>
      </c>
      <c r="F54" s="6" t="s">
        <v>90</v>
      </c>
      <c r="G54" s="6" t="s">
        <v>87</v>
      </c>
      <c r="H54" s="6" t="s">
        <v>6</v>
      </c>
      <c r="I54" s="6" t="s">
        <v>18</v>
      </c>
      <c r="J54" s="6">
        <v>1</v>
      </c>
      <c r="K54" s="6"/>
      <c r="L54" s="14" t="s">
        <v>74</v>
      </c>
      <c r="M54" s="6" t="s">
        <v>185</v>
      </c>
      <c r="N54" s="6" t="s">
        <v>144</v>
      </c>
      <c r="O54" s="33"/>
      <c r="P54" s="31">
        <v>45473</v>
      </c>
      <c r="Q54" s="12">
        <f>VLOOKUP(N54,RefData!$H$2:$I$15,2,)/100</f>
        <v>1</v>
      </c>
      <c r="R54" s="99" t="s">
        <v>228</v>
      </c>
      <c r="S54" s="1"/>
    </row>
    <row r="55" spans="1:19" ht="135" customHeight="1" x14ac:dyDescent="0.3">
      <c r="A55" s="17" t="s">
        <v>79</v>
      </c>
      <c r="B55" s="28">
        <v>1</v>
      </c>
      <c r="C55" s="6" t="s">
        <v>136</v>
      </c>
      <c r="D55" s="9" t="s">
        <v>137</v>
      </c>
      <c r="E55" s="6" t="s">
        <v>13</v>
      </c>
      <c r="F55" s="6" t="s">
        <v>90</v>
      </c>
      <c r="G55" s="6" t="s">
        <v>88</v>
      </c>
      <c r="H55" s="6" t="s">
        <v>6</v>
      </c>
      <c r="I55" s="6" t="s">
        <v>18</v>
      </c>
      <c r="J55" s="6" t="s">
        <v>74</v>
      </c>
      <c r="K55" s="6" t="s">
        <v>435</v>
      </c>
      <c r="L55" s="14" t="s">
        <v>74</v>
      </c>
      <c r="M55" s="6" t="s">
        <v>187</v>
      </c>
      <c r="N55" s="6" t="s">
        <v>187</v>
      </c>
      <c r="O55" s="33"/>
      <c r="P55" s="31"/>
      <c r="Q55" s="12">
        <f>VLOOKUP(N55,RefData!$H$2:$I$15,2,)/100</f>
        <v>0</v>
      </c>
      <c r="R55" s="99" t="s">
        <v>76</v>
      </c>
      <c r="S55" s="1"/>
    </row>
    <row r="56" spans="1:19" ht="15.6" x14ac:dyDescent="0.3">
      <c r="A56" s="17" t="s">
        <v>79</v>
      </c>
      <c r="B56" s="28">
        <v>1</v>
      </c>
      <c r="C56" s="6" t="s">
        <v>369</v>
      </c>
      <c r="D56" s="9" t="s">
        <v>370</v>
      </c>
      <c r="E56" s="6" t="s">
        <v>13</v>
      </c>
      <c r="F56" s="6" t="s">
        <v>90</v>
      </c>
      <c r="G56" s="6" t="s">
        <v>87</v>
      </c>
      <c r="H56" s="6" t="s">
        <v>6</v>
      </c>
      <c r="I56" s="6" t="s">
        <v>291</v>
      </c>
      <c r="J56" s="6">
        <v>0</v>
      </c>
      <c r="K56" s="6"/>
      <c r="L56" s="14">
        <v>45731</v>
      </c>
      <c r="M56" s="6"/>
      <c r="N56" s="6" t="s">
        <v>144</v>
      </c>
      <c r="O56" s="33">
        <v>45750</v>
      </c>
      <c r="P56" s="31">
        <v>45751</v>
      </c>
      <c r="Q56" s="12">
        <f>VLOOKUP(N56,RefData!$H$2:$I$15,2,)/100</f>
        <v>1</v>
      </c>
      <c r="R56" s="99" t="s">
        <v>371</v>
      </c>
      <c r="S56" s="1"/>
    </row>
    <row r="57" spans="1:19" ht="15.6" x14ac:dyDescent="0.3">
      <c r="A57" s="17" t="s">
        <v>79</v>
      </c>
      <c r="B57" s="28">
        <v>1</v>
      </c>
      <c r="C57" s="6" t="s">
        <v>369</v>
      </c>
      <c r="D57" s="9" t="s">
        <v>726</v>
      </c>
      <c r="E57" s="6" t="s">
        <v>16</v>
      </c>
      <c r="F57" s="6" t="s">
        <v>90</v>
      </c>
      <c r="G57" s="6" t="s">
        <v>87</v>
      </c>
      <c r="H57" s="6" t="s">
        <v>6</v>
      </c>
      <c r="I57" s="6" t="s">
        <v>728</v>
      </c>
      <c r="J57" s="6">
        <v>0</v>
      </c>
      <c r="K57" s="6" t="s">
        <v>435</v>
      </c>
      <c r="L57" s="14">
        <v>45951</v>
      </c>
      <c r="M57" s="6"/>
      <c r="N57" s="6" t="s">
        <v>144</v>
      </c>
      <c r="O57" s="33">
        <v>45943</v>
      </c>
      <c r="P57" s="31">
        <v>45947</v>
      </c>
      <c r="Q57" s="12">
        <f>VLOOKUP(N57,RefData!$H$2:$I$15,2,)/100</f>
        <v>1</v>
      </c>
      <c r="R57" s="99" t="s">
        <v>727</v>
      </c>
      <c r="S57" s="1"/>
    </row>
    <row r="58" spans="1:19" ht="15.6" x14ac:dyDescent="0.3">
      <c r="A58" s="17" t="s">
        <v>79</v>
      </c>
      <c r="B58" s="28">
        <v>1</v>
      </c>
      <c r="C58" s="6" t="s">
        <v>195</v>
      </c>
      <c r="D58" s="9" t="s">
        <v>372</v>
      </c>
      <c r="E58" s="6" t="s">
        <v>14</v>
      </c>
      <c r="F58" s="6" t="s">
        <v>90</v>
      </c>
      <c r="G58" s="6" t="s">
        <v>87</v>
      </c>
      <c r="H58" s="6" t="s">
        <v>6</v>
      </c>
      <c r="I58" s="6" t="s">
        <v>62</v>
      </c>
      <c r="J58" s="6">
        <v>0</v>
      </c>
      <c r="K58" s="6" t="s">
        <v>435</v>
      </c>
      <c r="L58" s="14">
        <v>45731</v>
      </c>
      <c r="M58" s="6"/>
      <c r="N58" s="6" t="s">
        <v>144</v>
      </c>
      <c r="O58" s="33">
        <v>45810</v>
      </c>
      <c r="P58" s="31">
        <v>45875</v>
      </c>
      <c r="Q58" s="12">
        <f>VLOOKUP(N58,RefData!$H$2:$I$15,2,)/100</f>
        <v>1</v>
      </c>
      <c r="R58" s="99"/>
      <c r="S58" s="1"/>
    </row>
    <row r="59" spans="1:19" ht="25.35" customHeight="1" x14ac:dyDescent="0.3">
      <c r="A59" s="17" t="s">
        <v>79</v>
      </c>
      <c r="B59" s="28">
        <v>1</v>
      </c>
      <c r="C59" s="6" t="s">
        <v>195</v>
      </c>
      <c r="D59" s="9" t="s">
        <v>201</v>
      </c>
      <c r="E59" s="6" t="s">
        <v>14</v>
      </c>
      <c r="F59" s="6" t="s">
        <v>90</v>
      </c>
      <c r="G59" s="6" t="s">
        <v>88</v>
      </c>
      <c r="H59" s="6" t="s">
        <v>7</v>
      </c>
      <c r="I59" s="6" t="s">
        <v>52</v>
      </c>
      <c r="J59" s="6">
        <v>2</v>
      </c>
      <c r="K59" s="6"/>
      <c r="L59" s="14" t="s">
        <v>74</v>
      </c>
      <c r="M59" s="6" t="s">
        <v>185</v>
      </c>
      <c r="N59" s="6" t="s">
        <v>144</v>
      </c>
      <c r="O59" s="33">
        <v>45373</v>
      </c>
      <c r="P59" s="31">
        <v>45427</v>
      </c>
      <c r="Q59" s="12">
        <f>VLOOKUP(N59,RefData!$H$2:$I$15,2,)/100</f>
        <v>1</v>
      </c>
      <c r="R59" s="99" t="s">
        <v>196</v>
      </c>
      <c r="S59" s="1" t="s">
        <v>208</v>
      </c>
    </row>
    <row r="60" spans="1:19" ht="15.6" x14ac:dyDescent="0.3">
      <c r="A60" s="17" t="s">
        <v>79</v>
      </c>
      <c r="B60" s="28">
        <v>1</v>
      </c>
      <c r="C60" s="6" t="s">
        <v>198</v>
      </c>
      <c r="D60" s="23" t="s">
        <v>200</v>
      </c>
      <c r="E60" s="6" t="s">
        <v>23</v>
      </c>
      <c r="F60" s="6" t="s">
        <v>90</v>
      </c>
      <c r="G60" s="6" t="s">
        <v>190</v>
      </c>
      <c r="H60" s="6" t="s">
        <v>8</v>
      </c>
      <c r="I60" s="6" t="s">
        <v>199</v>
      </c>
      <c r="J60" s="6" t="s">
        <v>74</v>
      </c>
      <c r="K60" s="6"/>
      <c r="L60" s="14">
        <v>45397</v>
      </c>
      <c r="M60" s="6"/>
      <c r="N60" s="6" t="s">
        <v>144</v>
      </c>
      <c r="O60" s="33"/>
      <c r="P60" s="31">
        <v>45397</v>
      </c>
      <c r="Q60" s="12">
        <f>VLOOKUP(N60,RefData!$H$2:$I$15,2,)/100</f>
        <v>1</v>
      </c>
      <c r="R60" s="99" t="s">
        <v>225</v>
      </c>
      <c r="S60" s="1"/>
    </row>
    <row r="61" spans="1:19" ht="43.2" x14ac:dyDescent="0.3">
      <c r="A61" s="17" t="s">
        <v>79</v>
      </c>
      <c r="B61" s="28">
        <v>1</v>
      </c>
      <c r="C61" s="6" t="s">
        <v>198</v>
      </c>
      <c r="D61" s="9" t="s">
        <v>373</v>
      </c>
      <c r="E61" s="6" t="s">
        <v>13</v>
      </c>
      <c r="F61" s="6" t="s">
        <v>90</v>
      </c>
      <c r="G61" s="6" t="s">
        <v>87</v>
      </c>
      <c r="H61" s="6" t="s">
        <v>6</v>
      </c>
      <c r="I61" s="6" t="s">
        <v>291</v>
      </c>
      <c r="J61" s="6">
        <v>0</v>
      </c>
      <c r="K61" s="6"/>
      <c r="L61" s="14">
        <v>45731</v>
      </c>
      <c r="M61" s="6"/>
      <c r="N61" s="6" t="s">
        <v>144</v>
      </c>
      <c r="O61" s="33">
        <v>45718</v>
      </c>
      <c r="P61" s="31">
        <v>45723</v>
      </c>
      <c r="Q61" s="12">
        <f>VLOOKUP(N61,RefData!$H$2:$I$15,2,)/100</f>
        <v>1</v>
      </c>
      <c r="R61" s="99" t="s">
        <v>374</v>
      </c>
      <c r="S61" s="1"/>
    </row>
    <row r="62" spans="1:19" ht="15.6" x14ac:dyDescent="0.3">
      <c r="A62" s="17" t="s">
        <v>79</v>
      </c>
      <c r="B62" s="28">
        <v>1</v>
      </c>
      <c r="C62" s="6" t="s">
        <v>203</v>
      </c>
      <c r="D62" s="9" t="s">
        <v>226</v>
      </c>
      <c r="E62" s="6" t="s">
        <v>23</v>
      </c>
      <c r="F62" s="6" t="s">
        <v>90</v>
      </c>
      <c r="G62" s="6" t="s">
        <v>190</v>
      </c>
      <c r="H62" s="6" t="s">
        <v>8</v>
      </c>
      <c r="I62" s="6" t="s">
        <v>199</v>
      </c>
      <c r="J62" s="6" t="s">
        <v>74</v>
      </c>
      <c r="K62" s="6"/>
      <c r="L62" s="14" t="s">
        <v>77</v>
      </c>
      <c r="M62" s="6"/>
      <c r="N62" s="6" t="s">
        <v>187</v>
      </c>
      <c r="O62" s="33"/>
      <c r="P62" s="31"/>
      <c r="Q62" s="12">
        <f>VLOOKUP(N62,RefData!$H$2:$I$15,2,)/100</f>
        <v>0</v>
      </c>
      <c r="R62" s="99" t="s">
        <v>227</v>
      </c>
      <c r="S62" s="1"/>
    </row>
    <row r="63" spans="1:19" ht="25.35" customHeight="1" x14ac:dyDescent="0.3">
      <c r="A63" s="17" t="s">
        <v>79</v>
      </c>
      <c r="B63" s="28">
        <v>1</v>
      </c>
      <c r="C63" s="6" t="s">
        <v>203</v>
      </c>
      <c r="D63" s="23" t="s">
        <v>204</v>
      </c>
      <c r="E63" s="6" t="s">
        <v>23</v>
      </c>
      <c r="F63" s="6" t="s">
        <v>90</v>
      </c>
      <c r="G63" s="6" t="s">
        <v>87</v>
      </c>
      <c r="H63" s="6" t="s">
        <v>7</v>
      </c>
      <c r="I63" s="6" t="s">
        <v>199</v>
      </c>
      <c r="J63" s="6">
        <v>2</v>
      </c>
      <c r="K63" s="6" t="s">
        <v>435</v>
      </c>
      <c r="L63" s="14"/>
      <c r="M63" s="6" t="s">
        <v>182</v>
      </c>
      <c r="N63" s="6" t="s">
        <v>144</v>
      </c>
      <c r="O63" s="33">
        <v>45359</v>
      </c>
      <c r="P63" s="31">
        <v>46111</v>
      </c>
      <c r="Q63" s="12">
        <f>VLOOKUP(N63,RefData!$H$2:$I$15,2,)/100</f>
        <v>1</v>
      </c>
      <c r="R63" s="99" t="s">
        <v>815</v>
      </c>
      <c r="S63" s="1"/>
    </row>
    <row r="64" spans="1:19" ht="15.6" x14ac:dyDescent="0.3">
      <c r="A64" s="17" t="s">
        <v>79</v>
      </c>
      <c r="B64" s="28">
        <v>1</v>
      </c>
      <c r="C64" s="6" t="s">
        <v>203</v>
      </c>
      <c r="D64" s="9" t="s">
        <v>375</v>
      </c>
      <c r="E64" s="6" t="s">
        <v>13</v>
      </c>
      <c r="F64" s="6" t="s">
        <v>90</v>
      </c>
      <c r="G64" s="6" t="s">
        <v>87</v>
      </c>
      <c r="H64" s="6" t="s">
        <v>6</v>
      </c>
      <c r="I64" s="6" t="s">
        <v>291</v>
      </c>
      <c r="J64" s="6">
        <v>1</v>
      </c>
      <c r="K64" s="6" t="s">
        <v>435</v>
      </c>
      <c r="L64" s="14">
        <v>45762</v>
      </c>
      <c r="M64" s="6"/>
      <c r="N64" s="6" t="s">
        <v>144</v>
      </c>
      <c r="O64" s="33">
        <v>45718</v>
      </c>
      <c r="P64" s="31">
        <v>45814</v>
      </c>
      <c r="Q64" s="12">
        <f>VLOOKUP(N64,RefData!$H$2:$I$15,2,)/100</f>
        <v>1</v>
      </c>
      <c r="R64" s="99"/>
      <c r="S64" s="1"/>
    </row>
    <row r="65" spans="1:19" ht="28.8" x14ac:dyDescent="0.3">
      <c r="A65" s="17" t="s">
        <v>79</v>
      </c>
      <c r="B65" s="28">
        <v>1</v>
      </c>
      <c r="C65" s="6" t="s">
        <v>211</v>
      </c>
      <c r="D65" s="23" t="s">
        <v>212</v>
      </c>
      <c r="E65" s="6" t="s">
        <v>213</v>
      </c>
      <c r="F65" s="6" t="s">
        <v>90</v>
      </c>
      <c r="G65" s="6" t="s">
        <v>87</v>
      </c>
      <c r="H65" s="6" t="s">
        <v>6</v>
      </c>
      <c r="I65" s="6" t="s">
        <v>40</v>
      </c>
      <c r="J65" s="6">
        <v>1</v>
      </c>
      <c r="K65" s="6"/>
      <c r="L65" s="14">
        <v>45427</v>
      </c>
      <c r="M65" s="6"/>
      <c r="N65" s="6" t="s">
        <v>144</v>
      </c>
      <c r="O65" s="33">
        <v>45718</v>
      </c>
      <c r="P65" s="31">
        <v>45427</v>
      </c>
      <c r="Q65" s="12">
        <f>VLOOKUP(N65,RefData!$H$2:$I$15,2,)/100</f>
        <v>1</v>
      </c>
      <c r="R65" s="99" t="s">
        <v>217</v>
      </c>
      <c r="S65" s="1"/>
    </row>
    <row r="66" spans="1:19" ht="25.35" customHeight="1" x14ac:dyDescent="0.3">
      <c r="A66" s="17" t="s">
        <v>79</v>
      </c>
      <c r="B66" s="28">
        <v>1</v>
      </c>
      <c r="C66" s="6" t="s">
        <v>295</v>
      </c>
      <c r="D66" s="23" t="s">
        <v>296</v>
      </c>
      <c r="E66" s="6" t="s">
        <v>297</v>
      </c>
      <c r="F66" s="6" t="s">
        <v>90</v>
      </c>
      <c r="G66" s="6" t="s">
        <v>88</v>
      </c>
      <c r="H66" s="6" t="s">
        <v>7</v>
      </c>
      <c r="I66" s="6" t="s">
        <v>298</v>
      </c>
      <c r="J66" s="6">
        <v>2</v>
      </c>
      <c r="K66" s="6" t="s">
        <v>435</v>
      </c>
      <c r="L66" s="14">
        <v>45657</v>
      </c>
      <c r="M66" s="6"/>
      <c r="N66" s="6" t="s">
        <v>144</v>
      </c>
      <c r="O66" s="31" t="s">
        <v>710</v>
      </c>
      <c r="P66" s="31" t="s">
        <v>645</v>
      </c>
      <c r="Q66" s="12">
        <f>VLOOKUP(N66,RefData!$H$2:$I$15,2,)/100</f>
        <v>1</v>
      </c>
      <c r="R66" s="99" t="s">
        <v>299</v>
      </c>
      <c r="S66" s="1"/>
    </row>
    <row r="67" spans="1:19" ht="25.35" customHeight="1" x14ac:dyDescent="0.3">
      <c r="A67" s="17" t="s">
        <v>79</v>
      </c>
      <c r="B67" s="28">
        <v>1</v>
      </c>
      <c r="C67" s="6" t="s">
        <v>637</v>
      </c>
      <c r="D67" s="23" t="s">
        <v>653</v>
      </c>
      <c r="E67" s="6" t="s">
        <v>14</v>
      </c>
      <c r="F67" s="6" t="s">
        <v>90</v>
      </c>
      <c r="G67" s="6"/>
      <c r="H67" s="6" t="s">
        <v>6</v>
      </c>
      <c r="I67" s="6" t="s">
        <v>62</v>
      </c>
      <c r="J67" s="6">
        <v>0</v>
      </c>
      <c r="K67" s="6" t="s">
        <v>436</v>
      </c>
      <c r="L67" s="14">
        <v>45808</v>
      </c>
      <c r="M67" s="6"/>
      <c r="N67" s="6" t="s">
        <v>144</v>
      </c>
      <c r="O67" s="33">
        <v>45791</v>
      </c>
      <c r="P67" s="32">
        <v>45870</v>
      </c>
      <c r="Q67" s="12">
        <f>VLOOKUP(N67,RefData!$H$2:$I$15,2,)/100</f>
        <v>1</v>
      </c>
      <c r="R67" s="99" t="s">
        <v>654</v>
      </c>
      <c r="S67" s="1"/>
    </row>
    <row r="68" spans="1:19" ht="28.8" x14ac:dyDescent="0.3">
      <c r="A68" s="17" t="s">
        <v>79</v>
      </c>
      <c r="B68" s="28">
        <v>1</v>
      </c>
      <c r="C68" s="6" t="s">
        <v>637</v>
      </c>
      <c r="D68" s="9" t="s">
        <v>638</v>
      </c>
      <c r="E68" s="6" t="s">
        <v>14</v>
      </c>
      <c r="F68" s="6" t="s">
        <v>90</v>
      </c>
      <c r="G68" s="6" t="s">
        <v>87</v>
      </c>
      <c r="H68" s="6" t="s">
        <v>6</v>
      </c>
      <c r="I68" s="6" t="s">
        <v>639</v>
      </c>
      <c r="J68" s="6">
        <v>1</v>
      </c>
      <c r="K68" s="6"/>
      <c r="L68" s="14">
        <v>45758</v>
      </c>
      <c r="M68" s="6"/>
      <c r="N68" s="6" t="s">
        <v>144</v>
      </c>
      <c r="O68" s="33">
        <v>45744</v>
      </c>
      <c r="P68" s="31">
        <v>45758</v>
      </c>
      <c r="Q68" s="12">
        <f>VLOOKUP(N68,RefData!$H$2:$I$15,2,)/100</f>
        <v>1</v>
      </c>
      <c r="R68" s="99"/>
      <c r="S68" s="1"/>
    </row>
    <row r="69" spans="1:19" ht="15.6" x14ac:dyDescent="0.3">
      <c r="A69" s="17" t="s">
        <v>79</v>
      </c>
      <c r="B69" s="28">
        <v>1</v>
      </c>
      <c r="C69" s="6" t="s">
        <v>648</v>
      </c>
      <c r="D69" s="9" t="s">
        <v>649</v>
      </c>
      <c r="E69" s="6" t="s">
        <v>14</v>
      </c>
      <c r="F69" s="6" t="s">
        <v>90</v>
      </c>
      <c r="G69" s="6" t="s">
        <v>87</v>
      </c>
      <c r="H69" s="6" t="s">
        <v>6</v>
      </c>
      <c r="I69" s="6" t="s">
        <v>291</v>
      </c>
      <c r="J69" s="6">
        <v>0</v>
      </c>
      <c r="K69" s="6"/>
      <c r="L69" s="14">
        <v>45789</v>
      </c>
      <c r="M69" s="6"/>
      <c r="N69" s="6" t="s">
        <v>144</v>
      </c>
      <c r="O69" s="33">
        <v>45782</v>
      </c>
      <c r="P69" s="31">
        <v>45786</v>
      </c>
      <c r="Q69" s="12">
        <f>VLOOKUP(N69,RefData!$H$2:$I$15,2,)/100</f>
        <v>1</v>
      </c>
      <c r="R69" s="99"/>
      <c r="S69" s="1"/>
    </row>
    <row r="70" spans="1:19" ht="55.95" customHeight="1" x14ac:dyDescent="0.3">
      <c r="A70" s="17" t="s">
        <v>79</v>
      </c>
      <c r="B70" s="28">
        <v>1</v>
      </c>
      <c r="C70" s="6" t="s">
        <v>648</v>
      </c>
      <c r="D70" s="23" t="s">
        <v>655</v>
      </c>
      <c r="E70" s="6" t="s">
        <v>14</v>
      </c>
      <c r="F70" s="6" t="s">
        <v>90</v>
      </c>
      <c r="G70" s="6" t="s">
        <v>87</v>
      </c>
      <c r="H70" s="6" t="s">
        <v>6</v>
      </c>
      <c r="I70" s="6" t="s">
        <v>656</v>
      </c>
      <c r="J70" s="6">
        <v>1</v>
      </c>
      <c r="K70" s="6" t="s">
        <v>435</v>
      </c>
      <c r="L70" s="14">
        <v>45808</v>
      </c>
      <c r="M70" s="6"/>
      <c r="N70" s="6" t="s">
        <v>185</v>
      </c>
      <c r="O70" s="33">
        <v>45782</v>
      </c>
      <c r="P70" s="31"/>
      <c r="Q70" s="12">
        <f>VLOOKUP(N70,RefData!$H$2:$I$15,2,)/100</f>
        <v>0.3</v>
      </c>
      <c r="R70" s="99"/>
      <c r="S70" s="1"/>
    </row>
    <row r="71" spans="1:19" ht="15.6" x14ac:dyDescent="0.3">
      <c r="A71" s="17" t="s">
        <v>79</v>
      </c>
      <c r="B71" s="28">
        <v>1</v>
      </c>
      <c r="C71" s="6" t="s">
        <v>666</v>
      </c>
      <c r="D71" s="23" t="s">
        <v>668</v>
      </c>
      <c r="E71" s="6" t="s">
        <v>13</v>
      </c>
      <c r="F71" s="6" t="s">
        <v>90</v>
      </c>
      <c r="G71" s="6"/>
      <c r="H71" s="6" t="s">
        <v>6</v>
      </c>
      <c r="I71" s="6" t="s">
        <v>62</v>
      </c>
      <c r="J71" s="6"/>
      <c r="K71" s="6"/>
      <c r="L71" s="14"/>
      <c r="M71" s="6"/>
      <c r="N71" s="6" t="s">
        <v>144</v>
      </c>
      <c r="O71" s="33">
        <v>45810</v>
      </c>
      <c r="P71" s="31">
        <v>45827</v>
      </c>
      <c r="Q71" s="12">
        <f>VLOOKUP(N71,RefData!$H$2:$I$15,2,)/100</f>
        <v>1</v>
      </c>
      <c r="R71" s="99"/>
      <c r="S71" s="1"/>
    </row>
    <row r="72" spans="1:19" ht="28.8" x14ac:dyDescent="0.3">
      <c r="A72" s="17" t="s">
        <v>79</v>
      </c>
      <c r="B72" s="28">
        <v>1</v>
      </c>
      <c r="C72" s="6" t="s">
        <v>666</v>
      </c>
      <c r="D72" s="68" t="s">
        <v>679</v>
      </c>
      <c r="E72" s="6" t="s">
        <v>14</v>
      </c>
      <c r="F72" s="6" t="s">
        <v>90</v>
      </c>
      <c r="G72" s="6" t="s">
        <v>87</v>
      </c>
      <c r="H72" s="6" t="s">
        <v>6</v>
      </c>
      <c r="I72" s="6" t="s">
        <v>62</v>
      </c>
      <c r="J72" s="6">
        <v>0</v>
      </c>
      <c r="K72" s="6" t="s">
        <v>436</v>
      </c>
      <c r="L72" s="14"/>
      <c r="M72" s="6"/>
      <c r="N72" s="6" t="s">
        <v>144</v>
      </c>
      <c r="O72" s="33">
        <v>45810</v>
      </c>
      <c r="P72" s="33">
        <v>45855</v>
      </c>
      <c r="Q72" s="12">
        <f>VLOOKUP(N72,RefData!$H$2:$I$15,2,)/100</f>
        <v>1</v>
      </c>
      <c r="R72" s="99"/>
      <c r="S72" s="1"/>
    </row>
    <row r="73" spans="1:19" ht="15.6" x14ac:dyDescent="0.3">
      <c r="A73" s="17" t="s">
        <v>79</v>
      </c>
      <c r="B73" s="28">
        <v>1</v>
      </c>
      <c r="C73" s="6" t="s">
        <v>667</v>
      </c>
      <c r="D73" s="23" t="s">
        <v>674</v>
      </c>
      <c r="E73" s="6" t="s">
        <v>14</v>
      </c>
      <c r="F73" s="6" t="s">
        <v>90</v>
      </c>
      <c r="G73" s="6" t="s">
        <v>87</v>
      </c>
      <c r="H73" s="6" t="s">
        <v>6</v>
      </c>
      <c r="I73" s="6" t="s">
        <v>62</v>
      </c>
      <c r="J73" s="6">
        <v>0</v>
      </c>
      <c r="K73" s="6" t="s">
        <v>436</v>
      </c>
      <c r="L73" s="14"/>
      <c r="M73" s="6"/>
      <c r="N73" s="6" t="s">
        <v>144</v>
      </c>
      <c r="O73" s="33">
        <v>45810</v>
      </c>
      <c r="P73" s="33">
        <v>45853</v>
      </c>
      <c r="Q73" s="12">
        <f>VLOOKUP(N73,RefData!$H$2:$I$15,2,)/100</f>
        <v>1</v>
      </c>
      <c r="R73" s="99"/>
      <c r="S73" s="1"/>
    </row>
    <row r="74" spans="1:19" ht="15.6" x14ac:dyDescent="0.3">
      <c r="A74" s="17" t="s">
        <v>79</v>
      </c>
      <c r="B74" s="28">
        <v>1</v>
      </c>
      <c r="C74" s="6" t="s">
        <v>672</v>
      </c>
      <c r="D74" s="23" t="s">
        <v>675</v>
      </c>
      <c r="E74" s="6" t="s">
        <v>14</v>
      </c>
      <c r="F74" s="6" t="s">
        <v>90</v>
      </c>
      <c r="G74" s="6" t="s">
        <v>87</v>
      </c>
      <c r="H74" s="6" t="s">
        <v>6</v>
      </c>
      <c r="I74" s="6" t="s">
        <v>62</v>
      </c>
      <c r="J74" s="6">
        <v>0</v>
      </c>
      <c r="K74" s="6" t="s">
        <v>436</v>
      </c>
      <c r="L74" s="14"/>
      <c r="M74" s="6"/>
      <c r="N74" s="6" t="s">
        <v>144</v>
      </c>
      <c r="O74" s="33">
        <v>45810</v>
      </c>
      <c r="P74" s="33">
        <v>45853</v>
      </c>
      <c r="Q74" s="12">
        <f>VLOOKUP(N74,RefData!$H$2:$I$15,2,)/100</f>
        <v>1</v>
      </c>
      <c r="R74" s="99"/>
      <c r="S74" s="1"/>
    </row>
    <row r="75" spans="1:19" ht="43.2" x14ac:dyDescent="0.3">
      <c r="A75" s="17" t="s">
        <v>79</v>
      </c>
      <c r="B75" s="28">
        <v>1</v>
      </c>
      <c r="C75" s="6" t="s">
        <v>673</v>
      </c>
      <c r="D75" s="68" t="s">
        <v>676</v>
      </c>
      <c r="E75" s="6" t="s">
        <v>14</v>
      </c>
      <c r="F75" s="6" t="s">
        <v>90</v>
      </c>
      <c r="G75" s="6" t="s">
        <v>87</v>
      </c>
      <c r="H75" s="6" t="s">
        <v>6</v>
      </c>
      <c r="I75" s="6" t="s">
        <v>62</v>
      </c>
      <c r="J75" s="6">
        <v>0</v>
      </c>
      <c r="K75" s="6" t="s">
        <v>436</v>
      </c>
      <c r="L75" s="14"/>
      <c r="M75" s="6"/>
      <c r="N75" s="6" t="s">
        <v>144</v>
      </c>
      <c r="O75" s="33">
        <v>45810</v>
      </c>
      <c r="P75" s="33">
        <v>45855</v>
      </c>
      <c r="Q75" s="12">
        <f>VLOOKUP(N75,RefData!$H$2:$I$15,2,)/100</f>
        <v>1</v>
      </c>
      <c r="R75" s="99"/>
      <c r="S75" s="1"/>
    </row>
    <row r="76" spans="1:19" ht="28.8" x14ac:dyDescent="0.3">
      <c r="A76" s="17" t="s">
        <v>79</v>
      </c>
      <c r="B76" s="28">
        <v>1</v>
      </c>
      <c r="C76" s="6" t="s">
        <v>677</v>
      </c>
      <c r="D76" s="68" t="s">
        <v>678</v>
      </c>
      <c r="E76" s="6" t="s">
        <v>14</v>
      </c>
      <c r="F76" s="6" t="s">
        <v>90</v>
      </c>
      <c r="G76" s="6" t="s">
        <v>87</v>
      </c>
      <c r="H76" s="6" t="s">
        <v>6</v>
      </c>
      <c r="I76" s="6" t="s">
        <v>62</v>
      </c>
      <c r="J76" s="6">
        <v>0</v>
      </c>
      <c r="K76" s="6" t="s">
        <v>436</v>
      </c>
      <c r="L76" s="14"/>
      <c r="M76" s="6"/>
      <c r="N76" s="6" t="s">
        <v>144</v>
      </c>
      <c r="O76" s="33">
        <v>45810</v>
      </c>
      <c r="P76" s="33">
        <v>45846</v>
      </c>
      <c r="Q76" s="12">
        <f>VLOOKUP(N76,RefData!$H$2:$I$15,2,)/100</f>
        <v>1</v>
      </c>
      <c r="R76" s="99"/>
      <c r="S76" s="1"/>
    </row>
    <row r="77" spans="1:19" ht="26.55" customHeight="1" x14ac:dyDescent="0.3">
      <c r="A77" s="18" t="s">
        <v>79</v>
      </c>
      <c r="B77" s="29">
        <v>1</v>
      </c>
      <c r="C77" s="16" t="s">
        <v>680</v>
      </c>
      <c r="D77" s="70" t="s">
        <v>681</v>
      </c>
      <c r="E77" s="16" t="s">
        <v>14</v>
      </c>
      <c r="F77" s="16" t="s">
        <v>90</v>
      </c>
      <c r="G77" s="16" t="s">
        <v>87</v>
      </c>
      <c r="H77" s="16" t="s">
        <v>6</v>
      </c>
      <c r="I77" s="16" t="s">
        <v>62</v>
      </c>
      <c r="J77" s="16">
        <v>0</v>
      </c>
      <c r="K77" s="16" t="s">
        <v>436</v>
      </c>
      <c r="L77" s="20" t="s">
        <v>77</v>
      </c>
      <c r="M77" s="6"/>
      <c r="N77" s="16" t="s">
        <v>185</v>
      </c>
      <c r="O77" s="44"/>
      <c r="P77" s="44"/>
      <c r="Q77" s="21">
        <f>VLOOKUP(N77,RefData!$H$2:$I$15,2,)/100</f>
        <v>0.3</v>
      </c>
      <c r="R77" s="119"/>
      <c r="S77" s="4"/>
    </row>
    <row r="78" spans="1:19" ht="26.55" customHeight="1" x14ac:dyDescent="0.3">
      <c r="A78" s="18" t="s">
        <v>79</v>
      </c>
      <c r="B78" s="29">
        <v>1</v>
      </c>
      <c r="C78" s="16" t="s">
        <v>682</v>
      </c>
      <c r="D78" s="25" t="s">
        <v>683</v>
      </c>
      <c r="E78" s="16" t="s">
        <v>13</v>
      </c>
      <c r="F78" s="16" t="s">
        <v>90</v>
      </c>
      <c r="G78" s="16" t="s">
        <v>88</v>
      </c>
      <c r="H78" s="16" t="s">
        <v>6</v>
      </c>
      <c r="I78" s="16" t="s">
        <v>43</v>
      </c>
      <c r="J78" s="16">
        <v>0</v>
      </c>
      <c r="K78" s="16" t="s">
        <v>436</v>
      </c>
      <c r="L78" s="20" t="s">
        <v>77</v>
      </c>
      <c r="M78" s="6"/>
      <c r="N78" s="16" t="s">
        <v>187</v>
      </c>
      <c r="O78" s="44"/>
      <c r="P78" s="45"/>
      <c r="Q78" s="21">
        <f>VLOOKUP(N78,RefData!$H$2:$I$15,2,)/100</f>
        <v>0</v>
      </c>
      <c r="R78" s="119" t="s">
        <v>741</v>
      </c>
      <c r="S78" s="4"/>
    </row>
    <row r="79" spans="1:19" ht="15.6" x14ac:dyDescent="0.3">
      <c r="A79" s="17" t="s">
        <v>79</v>
      </c>
      <c r="B79" s="28">
        <v>1</v>
      </c>
      <c r="C79" s="6" t="s">
        <v>684</v>
      </c>
      <c r="D79" s="23" t="s">
        <v>685</v>
      </c>
      <c r="E79" s="6" t="s">
        <v>13</v>
      </c>
      <c r="F79" s="6" t="s">
        <v>90</v>
      </c>
      <c r="G79" s="6" t="s">
        <v>87</v>
      </c>
      <c r="H79" s="6" t="s">
        <v>6</v>
      </c>
      <c r="I79" s="6" t="s">
        <v>686</v>
      </c>
      <c r="J79" s="6">
        <v>1</v>
      </c>
      <c r="K79" s="6"/>
      <c r="L79" s="14">
        <v>45961</v>
      </c>
      <c r="M79" s="6"/>
      <c r="N79" s="6" t="s">
        <v>144</v>
      </c>
      <c r="O79" s="33">
        <v>45931</v>
      </c>
      <c r="P79" s="31">
        <v>45937</v>
      </c>
      <c r="Q79" s="12">
        <f>VLOOKUP(N79,RefData!$H$2:$I$15,2,)/100</f>
        <v>1</v>
      </c>
      <c r="R79" s="99"/>
      <c r="S79" s="1"/>
    </row>
    <row r="80" spans="1:19" ht="36" customHeight="1" x14ac:dyDescent="0.3">
      <c r="A80" s="17" t="s">
        <v>79</v>
      </c>
      <c r="B80" s="28">
        <v>1</v>
      </c>
      <c r="C80" s="6" t="s">
        <v>687</v>
      </c>
      <c r="D80" s="23" t="s">
        <v>688</v>
      </c>
      <c r="E80" s="6" t="s">
        <v>13</v>
      </c>
      <c r="F80" s="6" t="s">
        <v>90</v>
      </c>
      <c r="G80" s="6" t="s">
        <v>88</v>
      </c>
      <c r="H80" s="6" t="s">
        <v>6</v>
      </c>
      <c r="I80" s="6" t="s">
        <v>43</v>
      </c>
      <c r="J80" s="6">
        <v>2</v>
      </c>
      <c r="K80" s="6"/>
      <c r="L80" s="14"/>
      <c r="M80" s="6"/>
      <c r="N80" s="6" t="s">
        <v>187</v>
      </c>
      <c r="O80" s="33"/>
      <c r="P80" s="31"/>
      <c r="Q80" s="12">
        <f>VLOOKUP(N80,RefData!$H$2:$I$15,2,)/100</f>
        <v>0</v>
      </c>
      <c r="R80" s="99"/>
      <c r="S80" s="1"/>
    </row>
    <row r="81" spans="1:19" ht="28.8" x14ac:dyDescent="0.3">
      <c r="A81" s="71" t="s">
        <v>79</v>
      </c>
      <c r="B81" s="72" t="s">
        <v>640</v>
      </c>
      <c r="C81" s="73" t="s">
        <v>756</v>
      </c>
      <c r="D81" s="23" t="s">
        <v>758</v>
      </c>
      <c r="E81" s="6" t="s">
        <v>14</v>
      </c>
      <c r="F81" s="6" t="s">
        <v>90</v>
      </c>
      <c r="G81" s="6" t="s">
        <v>88</v>
      </c>
      <c r="H81" s="6" t="s">
        <v>794</v>
      </c>
      <c r="I81" s="6" t="s">
        <v>62</v>
      </c>
      <c r="J81" s="6">
        <v>0</v>
      </c>
      <c r="K81" s="6" t="s">
        <v>435</v>
      </c>
      <c r="L81" s="14"/>
      <c r="M81" s="6" t="s">
        <v>181</v>
      </c>
      <c r="N81" s="6" t="s">
        <v>144</v>
      </c>
      <c r="O81" s="33">
        <v>45986</v>
      </c>
      <c r="P81" s="33">
        <v>46100</v>
      </c>
      <c r="Q81" s="12">
        <f>VLOOKUP(N81,RefData!$H$2:$I$15,2,)/100</f>
        <v>1</v>
      </c>
      <c r="R81" s="99" t="s">
        <v>757</v>
      </c>
      <c r="S81" s="46"/>
    </row>
    <row r="82" spans="1:19" ht="15.6" x14ac:dyDescent="0.3">
      <c r="A82" s="17" t="s">
        <v>79</v>
      </c>
      <c r="B82" s="28">
        <v>1</v>
      </c>
      <c r="C82" s="6" t="s">
        <v>694</v>
      </c>
      <c r="D82" s="23" t="s">
        <v>698</v>
      </c>
      <c r="E82" s="6" t="s">
        <v>14</v>
      </c>
      <c r="F82" s="6" t="s">
        <v>90</v>
      </c>
      <c r="G82" s="6" t="s">
        <v>88</v>
      </c>
      <c r="H82" s="6" t="s">
        <v>794</v>
      </c>
      <c r="I82" s="6" t="s">
        <v>639</v>
      </c>
      <c r="J82" s="6">
        <v>1</v>
      </c>
      <c r="K82" s="6"/>
      <c r="L82" s="14"/>
      <c r="M82" s="6"/>
      <c r="N82" s="6" t="s">
        <v>144</v>
      </c>
      <c r="O82" s="33">
        <v>45950</v>
      </c>
      <c r="P82" s="31">
        <v>45964</v>
      </c>
      <c r="Q82" s="12">
        <f>VLOOKUP(N82,RefData!$H$2:$I$15,2,)/100</f>
        <v>1</v>
      </c>
      <c r="R82" s="99" t="s">
        <v>755</v>
      </c>
      <c r="S82" s="1"/>
    </row>
    <row r="83" spans="1:19" ht="15.6" x14ac:dyDescent="0.3">
      <c r="A83" s="17" t="s">
        <v>79</v>
      </c>
      <c r="B83" s="28">
        <v>1</v>
      </c>
      <c r="C83" s="6" t="s">
        <v>695</v>
      </c>
      <c r="D83" s="23" t="s">
        <v>699</v>
      </c>
      <c r="E83" s="6" t="s">
        <v>14</v>
      </c>
      <c r="F83" s="6" t="s">
        <v>90</v>
      </c>
      <c r="G83" s="6" t="s">
        <v>88</v>
      </c>
      <c r="H83" s="6" t="s">
        <v>794</v>
      </c>
      <c r="I83" s="6" t="s">
        <v>639</v>
      </c>
      <c r="J83" s="6">
        <v>1</v>
      </c>
      <c r="K83" s="6"/>
      <c r="L83" s="14"/>
      <c r="M83" s="6"/>
      <c r="N83" s="6" t="s">
        <v>144</v>
      </c>
      <c r="O83" s="33">
        <v>45950</v>
      </c>
      <c r="P83" s="31">
        <v>45964</v>
      </c>
      <c r="Q83" s="12">
        <f>VLOOKUP(N83,RefData!$H$2:$I$15,2,)/100</f>
        <v>1</v>
      </c>
      <c r="R83" s="99"/>
      <c r="S83" s="1"/>
    </row>
    <row r="84" spans="1:19" ht="15.6" x14ac:dyDescent="0.3">
      <c r="A84" s="17" t="s">
        <v>79</v>
      </c>
      <c r="B84" s="28">
        <v>1</v>
      </c>
      <c r="C84" s="6" t="s">
        <v>696</v>
      </c>
      <c r="D84" s="23" t="s">
        <v>729</v>
      </c>
      <c r="E84" s="6" t="s">
        <v>14</v>
      </c>
      <c r="F84" s="6" t="s">
        <v>90</v>
      </c>
      <c r="G84" s="6" t="s">
        <v>87</v>
      </c>
      <c r="H84" s="6" t="s">
        <v>6</v>
      </c>
      <c r="I84" s="6" t="s">
        <v>639</v>
      </c>
      <c r="J84" s="6">
        <v>2</v>
      </c>
      <c r="K84" s="6" t="s">
        <v>435</v>
      </c>
      <c r="L84" s="14"/>
      <c r="M84" s="6"/>
      <c r="N84" s="6" t="s">
        <v>144</v>
      </c>
      <c r="O84" s="33">
        <v>45944</v>
      </c>
      <c r="P84" s="31">
        <v>45950</v>
      </c>
      <c r="Q84" s="12">
        <f>VLOOKUP(N84,RefData!$H$2:$I$15,2,)/100</f>
        <v>1</v>
      </c>
      <c r="R84" s="99"/>
      <c r="S84" s="1"/>
    </row>
    <row r="85" spans="1:19" ht="15.6" x14ac:dyDescent="0.3">
      <c r="A85" s="17" t="s">
        <v>79</v>
      </c>
      <c r="B85" s="28">
        <v>1</v>
      </c>
      <c r="C85" s="6" t="s">
        <v>697</v>
      </c>
      <c r="D85" s="23" t="s">
        <v>703</v>
      </c>
      <c r="E85" s="6" t="s">
        <v>14</v>
      </c>
      <c r="F85" s="6" t="s">
        <v>90</v>
      </c>
      <c r="G85" s="6" t="s">
        <v>87</v>
      </c>
      <c r="H85" s="6" t="s">
        <v>6</v>
      </c>
      <c r="I85" s="6" t="s">
        <v>639</v>
      </c>
      <c r="J85" s="6">
        <v>2</v>
      </c>
      <c r="K85" s="6"/>
      <c r="L85" s="14"/>
      <c r="M85" s="6"/>
      <c r="N85" s="6" t="s">
        <v>144</v>
      </c>
      <c r="O85" s="33">
        <v>45950</v>
      </c>
      <c r="P85" s="31">
        <v>45961</v>
      </c>
      <c r="Q85" s="12">
        <f>VLOOKUP(N85,RefData!$H$2:$I$15,2,)/100</f>
        <v>1</v>
      </c>
      <c r="R85" s="99"/>
      <c r="S85" s="1"/>
    </row>
    <row r="86" spans="1:19" ht="57.6" x14ac:dyDescent="0.3">
      <c r="A86" s="17" t="s">
        <v>79</v>
      </c>
      <c r="B86" s="28">
        <v>1</v>
      </c>
      <c r="C86" s="6" t="s">
        <v>700</v>
      </c>
      <c r="D86" s="23" t="s">
        <v>704</v>
      </c>
      <c r="E86" s="6" t="s">
        <v>14</v>
      </c>
      <c r="F86" s="6" t="s">
        <v>90</v>
      </c>
      <c r="G86" s="6" t="s">
        <v>88</v>
      </c>
      <c r="H86" s="6" t="s">
        <v>6</v>
      </c>
      <c r="I86" s="6" t="s">
        <v>639</v>
      </c>
      <c r="J86" s="6">
        <v>1</v>
      </c>
      <c r="K86" s="6"/>
      <c r="L86" s="14">
        <v>45961</v>
      </c>
      <c r="M86" s="6"/>
      <c r="N86" s="6" t="s">
        <v>144</v>
      </c>
      <c r="O86" s="33">
        <v>45929</v>
      </c>
      <c r="P86" s="31">
        <v>45940</v>
      </c>
      <c r="Q86" s="12">
        <f>VLOOKUP(N86,RefData!$H$2:$I$15,2,)/100</f>
        <v>1</v>
      </c>
      <c r="R86" s="99"/>
      <c r="S86" s="1"/>
    </row>
    <row r="87" spans="1:19" ht="28.8" x14ac:dyDescent="0.3">
      <c r="A87" s="17" t="s">
        <v>79</v>
      </c>
      <c r="B87" s="28">
        <v>1</v>
      </c>
      <c r="C87" s="6" t="s">
        <v>701</v>
      </c>
      <c r="D87" s="23" t="s">
        <v>705</v>
      </c>
      <c r="E87" s="6" t="s">
        <v>14</v>
      </c>
      <c r="F87" s="6" t="s">
        <v>90</v>
      </c>
      <c r="G87" s="6" t="s">
        <v>88</v>
      </c>
      <c r="H87" s="6" t="s">
        <v>794</v>
      </c>
      <c r="I87" s="6" t="s">
        <v>639</v>
      </c>
      <c r="J87" s="6">
        <v>1</v>
      </c>
      <c r="K87" s="6"/>
      <c r="L87" s="14">
        <v>45940</v>
      </c>
      <c r="M87" s="6"/>
      <c r="N87" s="6" t="s">
        <v>144</v>
      </c>
      <c r="O87" s="33"/>
      <c r="P87" s="31">
        <v>45951</v>
      </c>
      <c r="Q87" s="12">
        <f>VLOOKUP(N87,RefData!$H$2:$I$15,2,)/100</f>
        <v>1</v>
      </c>
      <c r="R87" s="99"/>
      <c r="S87" s="1"/>
    </row>
    <row r="88" spans="1:19" ht="34.200000000000003" customHeight="1" x14ac:dyDescent="0.3">
      <c r="A88" s="17" t="s">
        <v>79</v>
      </c>
      <c r="B88" s="28">
        <v>1</v>
      </c>
      <c r="C88" s="6" t="s">
        <v>702</v>
      </c>
      <c r="D88" s="23" t="s">
        <v>706</v>
      </c>
      <c r="E88" s="6" t="s">
        <v>14</v>
      </c>
      <c r="F88" s="6" t="s">
        <v>90</v>
      </c>
      <c r="G88" s="6" t="s">
        <v>87</v>
      </c>
      <c r="H88" s="6" t="s">
        <v>6</v>
      </c>
      <c r="I88" s="6" t="s">
        <v>639</v>
      </c>
      <c r="J88" s="6">
        <v>2</v>
      </c>
      <c r="K88" s="6"/>
      <c r="L88" s="14"/>
      <c r="M88" s="6"/>
      <c r="N88" s="6" t="s">
        <v>187</v>
      </c>
      <c r="O88" s="33"/>
      <c r="P88" s="31"/>
      <c r="Q88" s="12">
        <f>VLOOKUP(N88,RefData!$H$2:$I$15,2,)/100</f>
        <v>0</v>
      </c>
      <c r="R88" s="99"/>
      <c r="S88" s="1"/>
    </row>
    <row r="89" spans="1:19" ht="15.6" x14ac:dyDescent="0.3">
      <c r="A89" s="17" t="s">
        <v>79</v>
      </c>
      <c r="B89" s="28">
        <v>1</v>
      </c>
      <c r="C89" s="6" t="s">
        <v>730</v>
      </c>
      <c r="D89" s="23" t="s">
        <v>733</v>
      </c>
      <c r="E89" s="6" t="s">
        <v>13</v>
      </c>
      <c r="F89" s="6" t="s">
        <v>90</v>
      </c>
      <c r="G89" s="6" t="s">
        <v>87</v>
      </c>
      <c r="H89" s="6" t="s">
        <v>6</v>
      </c>
      <c r="I89" s="6" t="s">
        <v>43</v>
      </c>
      <c r="J89" s="6">
        <v>1</v>
      </c>
      <c r="K89" s="6"/>
      <c r="L89" s="14"/>
      <c r="M89" s="6"/>
      <c r="N89" s="6" t="s">
        <v>144</v>
      </c>
      <c r="O89" s="33">
        <v>45950</v>
      </c>
      <c r="P89" s="31">
        <v>45961</v>
      </c>
      <c r="Q89" s="12">
        <f>VLOOKUP(N89,RefData!$H$2:$I$15,2,)/100</f>
        <v>1</v>
      </c>
      <c r="R89" s="99"/>
      <c r="S89" s="1"/>
    </row>
    <row r="90" spans="1:19" ht="43.2" x14ac:dyDescent="0.3">
      <c r="A90" s="17" t="s">
        <v>79</v>
      </c>
      <c r="B90" s="28">
        <v>1</v>
      </c>
      <c r="C90" s="6" t="s">
        <v>731</v>
      </c>
      <c r="D90" s="23" t="s">
        <v>734</v>
      </c>
      <c r="E90" s="6" t="s">
        <v>13</v>
      </c>
      <c r="F90" s="6" t="s">
        <v>90</v>
      </c>
      <c r="G90" s="6" t="s">
        <v>87</v>
      </c>
      <c r="H90" s="6" t="s">
        <v>6</v>
      </c>
      <c r="I90" s="6" t="s">
        <v>43</v>
      </c>
      <c r="J90" s="6">
        <v>1</v>
      </c>
      <c r="K90" s="6"/>
      <c r="L90" s="14">
        <v>45961</v>
      </c>
      <c r="M90" s="6"/>
      <c r="N90" s="6" t="s">
        <v>144</v>
      </c>
      <c r="O90" s="33">
        <v>45950</v>
      </c>
      <c r="P90" s="31">
        <v>45961</v>
      </c>
      <c r="Q90" s="12">
        <f>VLOOKUP(N90,RefData!$H$2:$I$15,2,)/100</f>
        <v>1</v>
      </c>
      <c r="R90" s="99"/>
      <c r="S90" s="1"/>
    </row>
    <row r="91" spans="1:19" ht="15.6" x14ac:dyDescent="0.3">
      <c r="A91" s="17" t="s">
        <v>79</v>
      </c>
      <c r="B91" s="28">
        <v>1</v>
      </c>
      <c r="C91" s="6" t="s">
        <v>732</v>
      </c>
      <c r="D91" s="23" t="s">
        <v>735</v>
      </c>
      <c r="E91" s="6" t="s">
        <v>13</v>
      </c>
      <c r="F91" s="6" t="s">
        <v>90</v>
      </c>
      <c r="G91" s="6" t="s">
        <v>87</v>
      </c>
      <c r="H91" s="6" t="s">
        <v>6</v>
      </c>
      <c r="I91" s="6" t="s">
        <v>43</v>
      </c>
      <c r="J91" s="6">
        <v>1</v>
      </c>
      <c r="K91" s="6"/>
      <c r="L91" s="14">
        <v>45961</v>
      </c>
      <c r="M91" s="6"/>
      <c r="N91" s="6" t="s">
        <v>144</v>
      </c>
      <c r="O91" s="33">
        <v>45950</v>
      </c>
      <c r="P91" s="31">
        <v>45961</v>
      </c>
      <c r="Q91" s="12">
        <f>VLOOKUP(N91,RefData!$H$2:$I$15,2,)/100</f>
        <v>1</v>
      </c>
      <c r="R91" s="99"/>
      <c r="S91" s="1"/>
    </row>
    <row r="92" spans="1:19" ht="28.8" x14ac:dyDescent="0.3">
      <c r="A92" s="17" t="s">
        <v>79</v>
      </c>
      <c r="B92" s="28">
        <v>1</v>
      </c>
      <c r="C92" s="6" t="s">
        <v>736</v>
      </c>
      <c r="D92" s="23" t="s">
        <v>737</v>
      </c>
      <c r="E92" s="6" t="s">
        <v>229</v>
      </c>
      <c r="F92" s="6" t="s">
        <v>90</v>
      </c>
      <c r="G92" s="6" t="s">
        <v>87</v>
      </c>
      <c r="H92" s="6" t="s">
        <v>6</v>
      </c>
      <c r="I92" s="6" t="s">
        <v>738</v>
      </c>
      <c r="J92" s="6">
        <v>1</v>
      </c>
      <c r="K92" s="6"/>
      <c r="L92" s="14">
        <v>45950</v>
      </c>
      <c r="M92" s="6"/>
      <c r="N92" s="6" t="s">
        <v>144</v>
      </c>
      <c r="O92" s="33">
        <v>45936</v>
      </c>
      <c r="P92" s="31">
        <v>45945</v>
      </c>
      <c r="Q92" s="12">
        <f>VLOOKUP(N92,RefData!$H$2:$I$15,2,)/100</f>
        <v>1</v>
      </c>
      <c r="R92" s="99"/>
      <c r="S92" s="1"/>
    </row>
    <row r="93" spans="1:19" ht="15.6" x14ac:dyDescent="0.3">
      <c r="A93" s="17" t="s">
        <v>79</v>
      </c>
      <c r="B93" s="28">
        <v>1</v>
      </c>
      <c r="C93" s="6" t="s">
        <v>742</v>
      </c>
      <c r="D93" s="23" t="s">
        <v>744</v>
      </c>
      <c r="E93" s="6" t="s">
        <v>14</v>
      </c>
      <c r="F93" s="6" t="s">
        <v>90</v>
      </c>
      <c r="G93" s="6" t="s">
        <v>88</v>
      </c>
      <c r="H93" s="6" t="s">
        <v>794</v>
      </c>
      <c r="I93" s="6" t="s">
        <v>62</v>
      </c>
      <c r="J93" s="6">
        <v>0</v>
      </c>
      <c r="K93" s="6"/>
      <c r="L93" s="14">
        <v>45991</v>
      </c>
      <c r="M93" s="6"/>
      <c r="N93" s="6" t="s">
        <v>144</v>
      </c>
      <c r="O93" s="33">
        <v>45951</v>
      </c>
      <c r="P93" s="31">
        <v>45960</v>
      </c>
      <c r="Q93" s="12">
        <f>VLOOKUP(N93,RefData!$H$2:$I$15,2,)/100</f>
        <v>1</v>
      </c>
      <c r="R93" s="99"/>
      <c r="S93" s="1"/>
    </row>
    <row r="94" spans="1:19" ht="100.8" x14ac:dyDescent="0.3">
      <c r="A94" s="17" t="s">
        <v>79</v>
      </c>
      <c r="B94" s="28">
        <v>1</v>
      </c>
      <c r="C94" s="6" t="s">
        <v>743</v>
      </c>
      <c r="D94" s="23" t="s">
        <v>745</v>
      </c>
      <c r="E94" s="6" t="s">
        <v>13</v>
      </c>
      <c r="F94" s="6" t="s">
        <v>90</v>
      </c>
      <c r="G94" s="6" t="s">
        <v>88</v>
      </c>
      <c r="H94" s="6" t="s">
        <v>6</v>
      </c>
      <c r="I94" s="6" t="s">
        <v>43</v>
      </c>
      <c r="J94" s="6">
        <v>1</v>
      </c>
      <c r="K94" s="6" t="s">
        <v>435</v>
      </c>
      <c r="L94" s="14">
        <v>45991</v>
      </c>
      <c r="M94" s="6"/>
      <c r="N94" s="6" t="s">
        <v>144</v>
      </c>
      <c r="O94" s="33">
        <v>45966</v>
      </c>
      <c r="P94" s="31">
        <v>45989</v>
      </c>
      <c r="Q94" s="12">
        <f>VLOOKUP(N94,RefData!$H$2:$I$15,2,)/100</f>
        <v>1</v>
      </c>
      <c r="R94" s="99"/>
      <c r="S94" s="1"/>
    </row>
    <row r="95" spans="1:19" ht="28.8" x14ac:dyDescent="0.3">
      <c r="A95" s="17" t="s">
        <v>79</v>
      </c>
      <c r="B95" s="28">
        <v>1</v>
      </c>
      <c r="C95" s="6" t="s">
        <v>746</v>
      </c>
      <c r="D95" s="23" t="s">
        <v>747</v>
      </c>
      <c r="E95" s="6" t="s">
        <v>13</v>
      </c>
      <c r="F95" s="6" t="s">
        <v>90</v>
      </c>
      <c r="G95" s="6" t="s">
        <v>87</v>
      </c>
      <c r="H95" s="6" t="s">
        <v>6</v>
      </c>
      <c r="I95" s="6" t="s">
        <v>748</v>
      </c>
      <c r="J95" s="6">
        <v>1</v>
      </c>
      <c r="K95" s="6"/>
      <c r="L95" s="14">
        <v>45982</v>
      </c>
      <c r="M95" s="6"/>
      <c r="N95" s="6" t="s">
        <v>144</v>
      </c>
      <c r="O95" s="33">
        <v>45972</v>
      </c>
      <c r="P95" s="31">
        <v>45978</v>
      </c>
      <c r="Q95" s="12">
        <f>VLOOKUP(N95,RefData!$H$2:$I$15,2,)/100</f>
        <v>1</v>
      </c>
      <c r="R95" s="99"/>
      <c r="S95" s="1"/>
    </row>
    <row r="96" spans="1:19" ht="41.55" customHeight="1" x14ac:dyDescent="0.3">
      <c r="A96" s="17" t="s">
        <v>79</v>
      </c>
      <c r="B96" s="28">
        <v>1</v>
      </c>
      <c r="C96" s="6" t="s">
        <v>750</v>
      </c>
      <c r="D96" s="23" t="s">
        <v>759</v>
      </c>
      <c r="E96" s="6" t="s">
        <v>13</v>
      </c>
      <c r="F96" s="6" t="s">
        <v>90</v>
      </c>
      <c r="G96" s="6" t="s">
        <v>87</v>
      </c>
      <c r="H96" s="6" t="s">
        <v>6</v>
      </c>
      <c r="I96" s="6" t="s">
        <v>43</v>
      </c>
      <c r="J96" s="6">
        <v>0</v>
      </c>
      <c r="K96" s="6" t="s">
        <v>436</v>
      </c>
      <c r="L96" s="14">
        <v>46022</v>
      </c>
      <c r="M96" s="6"/>
      <c r="N96" s="6" t="s">
        <v>144</v>
      </c>
      <c r="O96" s="14">
        <v>45951</v>
      </c>
      <c r="P96" s="14">
        <v>46022</v>
      </c>
      <c r="Q96" s="12">
        <f>VLOOKUP(N96,RefData!$H$2:$I$15,2,)/100</f>
        <v>1</v>
      </c>
      <c r="R96" s="99" t="s">
        <v>771</v>
      </c>
      <c r="S96" s="1"/>
    </row>
    <row r="97" spans="1:19" ht="39" customHeight="1" x14ac:dyDescent="0.3">
      <c r="A97" s="17" t="s">
        <v>79</v>
      </c>
      <c r="B97" s="28">
        <v>1</v>
      </c>
      <c r="C97" s="6" t="s">
        <v>763</v>
      </c>
      <c r="D97" s="23" t="s">
        <v>764</v>
      </c>
      <c r="E97" s="6" t="s">
        <v>13</v>
      </c>
      <c r="F97" s="6" t="s">
        <v>90</v>
      </c>
      <c r="G97" s="6" t="s">
        <v>87</v>
      </c>
      <c r="H97" s="6" t="s">
        <v>6</v>
      </c>
      <c r="I97" s="6" t="s">
        <v>291</v>
      </c>
      <c r="J97" s="6">
        <v>0</v>
      </c>
      <c r="K97" s="6" t="s">
        <v>436</v>
      </c>
      <c r="L97" s="14">
        <v>46053</v>
      </c>
      <c r="M97" s="6"/>
      <c r="N97" s="6" t="s">
        <v>144</v>
      </c>
      <c r="O97" s="14">
        <v>45995</v>
      </c>
      <c r="P97" s="14">
        <v>46069</v>
      </c>
      <c r="Q97" s="12">
        <f>VLOOKUP(N97,RefData!$H$2:$I$15,2,)/100</f>
        <v>1</v>
      </c>
      <c r="R97" s="99" t="s">
        <v>765</v>
      </c>
      <c r="S97" s="1"/>
    </row>
    <row r="98" spans="1:19" ht="25.35" customHeight="1" x14ac:dyDescent="0.3">
      <c r="A98" s="17" t="s">
        <v>79</v>
      </c>
      <c r="B98" s="28">
        <v>1</v>
      </c>
      <c r="C98" s="6" t="s">
        <v>777</v>
      </c>
      <c r="D98" s="23" t="s">
        <v>651</v>
      </c>
      <c r="E98" s="6" t="s">
        <v>13</v>
      </c>
      <c r="F98" s="6" t="s">
        <v>90</v>
      </c>
      <c r="G98" s="6" t="s">
        <v>88</v>
      </c>
      <c r="H98" s="6" t="s">
        <v>6</v>
      </c>
      <c r="I98" s="6" t="s">
        <v>62</v>
      </c>
      <c r="J98" s="6">
        <v>0</v>
      </c>
      <c r="K98" s="6" t="s">
        <v>436</v>
      </c>
      <c r="L98" s="14">
        <v>45796</v>
      </c>
      <c r="M98" s="6"/>
      <c r="N98" s="6" t="s">
        <v>144</v>
      </c>
      <c r="O98" s="33">
        <v>45791</v>
      </c>
      <c r="P98" s="31">
        <v>45792</v>
      </c>
      <c r="Q98" s="12">
        <f>VLOOKUP(N98,RefData!$H$2:$I$15,2,)/100</f>
        <v>1</v>
      </c>
      <c r="R98" s="99" t="s">
        <v>652</v>
      </c>
      <c r="S98" s="1"/>
    </row>
    <row r="99" spans="1:19" ht="64.2" customHeight="1" x14ac:dyDescent="0.3">
      <c r="A99" s="17" t="s">
        <v>79</v>
      </c>
      <c r="B99" s="28"/>
      <c r="C99" s="6" t="s">
        <v>778</v>
      </c>
      <c r="D99" s="23" t="s">
        <v>378</v>
      </c>
      <c r="E99" s="6" t="s">
        <v>379</v>
      </c>
      <c r="F99" s="6" t="s">
        <v>90</v>
      </c>
      <c r="G99" s="6" t="s">
        <v>88</v>
      </c>
      <c r="H99" s="6" t="s">
        <v>380</v>
      </c>
      <c r="I99" s="6" t="s">
        <v>381</v>
      </c>
      <c r="J99" s="6">
        <v>0</v>
      </c>
      <c r="K99" s="6" t="s">
        <v>435</v>
      </c>
      <c r="L99" s="14">
        <v>45777</v>
      </c>
      <c r="M99" s="6"/>
      <c r="N99" s="6" t="s">
        <v>144</v>
      </c>
      <c r="O99" s="33">
        <v>45734</v>
      </c>
      <c r="P99" s="31">
        <v>45866</v>
      </c>
      <c r="Q99" s="12">
        <f>VLOOKUP(N99,RefData!$H$2:$I$15,2,)/100</f>
        <v>1</v>
      </c>
      <c r="R99" s="99" t="s">
        <v>887</v>
      </c>
      <c r="S99" s="1"/>
    </row>
    <row r="100" spans="1:19" ht="26.1" customHeight="1" x14ac:dyDescent="0.3">
      <c r="A100" s="17" t="s">
        <v>79</v>
      </c>
      <c r="B100" s="28">
        <v>1</v>
      </c>
      <c r="C100" s="6" t="s">
        <v>780</v>
      </c>
      <c r="D100" s="23" t="s">
        <v>781</v>
      </c>
      <c r="E100" s="6" t="s">
        <v>13</v>
      </c>
      <c r="F100" s="6" t="s">
        <v>90</v>
      </c>
      <c r="G100" s="6" t="s">
        <v>87</v>
      </c>
      <c r="H100" s="6" t="s">
        <v>6</v>
      </c>
      <c r="I100" s="6" t="s">
        <v>43</v>
      </c>
      <c r="J100" s="6">
        <v>0</v>
      </c>
      <c r="K100" s="6" t="s">
        <v>435</v>
      </c>
      <c r="L100" s="14">
        <v>46031</v>
      </c>
      <c r="M100" s="6"/>
      <c r="N100" s="6" t="s">
        <v>144</v>
      </c>
      <c r="O100" s="33">
        <v>46028</v>
      </c>
      <c r="P100" s="31">
        <v>46031</v>
      </c>
      <c r="Q100" s="12">
        <f>VLOOKUP(N100,RefData!$H$2:$I$15,2,)/100</f>
        <v>1</v>
      </c>
      <c r="R100" s="99"/>
      <c r="S100" s="1"/>
    </row>
    <row r="101" spans="1:19" ht="45.6" customHeight="1" x14ac:dyDescent="0.3">
      <c r="A101" s="17" t="s">
        <v>79</v>
      </c>
      <c r="B101" s="28">
        <v>1</v>
      </c>
      <c r="C101" s="6" t="s">
        <v>782</v>
      </c>
      <c r="D101" s="23" t="s">
        <v>783</v>
      </c>
      <c r="E101" s="6" t="s">
        <v>13</v>
      </c>
      <c r="F101" s="6" t="s">
        <v>90</v>
      </c>
      <c r="G101" s="6" t="s">
        <v>87</v>
      </c>
      <c r="H101" s="6" t="s">
        <v>6</v>
      </c>
      <c r="I101" s="6" t="s">
        <v>6</v>
      </c>
      <c r="J101" s="6">
        <v>0</v>
      </c>
      <c r="K101" s="6" t="s">
        <v>436</v>
      </c>
      <c r="L101" s="14">
        <v>46053</v>
      </c>
      <c r="M101" s="6"/>
      <c r="N101" s="6" t="s">
        <v>144</v>
      </c>
      <c r="O101" s="33">
        <v>46027</v>
      </c>
      <c r="P101" s="31">
        <v>46050</v>
      </c>
      <c r="Q101" s="12">
        <f>VLOOKUP(N101,RefData!$H$2:$I$15,2,)/100</f>
        <v>1</v>
      </c>
      <c r="R101" s="99" t="s">
        <v>784</v>
      </c>
      <c r="S101" s="1"/>
    </row>
    <row r="102" spans="1:19" ht="27.6" customHeight="1" x14ac:dyDescent="0.3">
      <c r="A102" s="17" t="s">
        <v>79</v>
      </c>
      <c r="B102" s="28">
        <v>1</v>
      </c>
      <c r="C102" s="6" t="s">
        <v>785</v>
      </c>
      <c r="D102" s="23" t="s">
        <v>786</v>
      </c>
      <c r="E102" s="6" t="s">
        <v>13</v>
      </c>
      <c r="F102" s="6" t="s">
        <v>90</v>
      </c>
      <c r="G102" s="6" t="s">
        <v>88</v>
      </c>
      <c r="H102" s="6" t="s">
        <v>795</v>
      </c>
      <c r="I102" s="6" t="s">
        <v>62</v>
      </c>
      <c r="J102" s="6">
        <v>0</v>
      </c>
      <c r="K102" s="6" t="s">
        <v>436</v>
      </c>
      <c r="L102" s="14">
        <v>46110</v>
      </c>
      <c r="M102" s="6"/>
      <c r="N102" s="6" t="s">
        <v>144</v>
      </c>
      <c r="O102" s="33">
        <v>46070</v>
      </c>
      <c r="P102" s="31">
        <v>46135</v>
      </c>
      <c r="Q102" s="12">
        <f>VLOOKUP(N102,RefData!$H$2:$I$15,2,)/100</f>
        <v>1</v>
      </c>
      <c r="R102" s="99"/>
      <c r="S102" s="1" t="s">
        <v>883</v>
      </c>
    </row>
    <row r="103" spans="1:19" ht="22.2" customHeight="1" x14ac:dyDescent="0.3">
      <c r="A103" s="17" t="s">
        <v>79</v>
      </c>
      <c r="B103" s="28">
        <v>1</v>
      </c>
      <c r="C103" s="6" t="s">
        <v>787</v>
      </c>
      <c r="D103" s="23" t="s">
        <v>788</v>
      </c>
      <c r="E103" s="6" t="s">
        <v>13</v>
      </c>
      <c r="F103" s="6" t="s">
        <v>90</v>
      </c>
      <c r="G103" s="6" t="s">
        <v>88</v>
      </c>
      <c r="H103" s="6" t="s">
        <v>795</v>
      </c>
      <c r="I103" s="6" t="s">
        <v>291</v>
      </c>
      <c r="J103" s="6">
        <v>0</v>
      </c>
      <c r="K103" s="6" t="s">
        <v>436</v>
      </c>
      <c r="L103" s="14"/>
      <c r="M103" s="6"/>
      <c r="N103" s="6" t="s">
        <v>187</v>
      </c>
      <c r="O103" s="33"/>
      <c r="P103" s="31"/>
      <c r="Q103" s="12">
        <f>VLOOKUP(N103,RefData!$H$2:$I$15,2,)/100</f>
        <v>0</v>
      </c>
      <c r="R103" s="99" t="s">
        <v>872</v>
      </c>
      <c r="S103" s="1"/>
    </row>
    <row r="104" spans="1:19" ht="25.35" customHeight="1" x14ac:dyDescent="0.3">
      <c r="A104" s="17" t="s">
        <v>79</v>
      </c>
      <c r="B104" s="28">
        <v>1</v>
      </c>
      <c r="C104" s="6" t="s">
        <v>789</v>
      </c>
      <c r="D104" s="23" t="s">
        <v>791</v>
      </c>
      <c r="E104" s="6" t="s">
        <v>13</v>
      </c>
      <c r="F104" s="6" t="s">
        <v>90</v>
      </c>
      <c r="G104" s="6" t="s">
        <v>87</v>
      </c>
      <c r="H104" s="6" t="s">
        <v>6</v>
      </c>
      <c r="I104" s="6" t="s">
        <v>43</v>
      </c>
      <c r="J104" s="6">
        <v>1</v>
      </c>
      <c r="K104" s="6"/>
      <c r="L104" s="14">
        <v>46096</v>
      </c>
      <c r="M104" s="6"/>
      <c r="N104" s="6" t="s">
        <v>144</v>
      </c>
      <c r="O104" s="33">
        <v>46080</v>
      </c>
      <c r="P104" s="31">
        <v>46094</v>
      </c>
      <c r="Q104" s="12">
        <f>VLOOKUP(N104,RefData!$H$2:$I$15,2,)/100</f>
        <v>1</v>
      </c>
      <c r="R104" s="99" t="s">
        <v>792</v>
      </c>
      <c r="S104" s="1"/>
    </row>
    <row r="105" spans="1:19" ht="25.35" customHeight="1" x14ac:dyDescent="0.3">
      <c r="A105" s="17" t="s">
        <v>79</v>
      </c>
      <c r="B105" s="28">
        <v>1</v>
      </c>
      <c r="C105" s="6" t="s">
        <v>790</v>
      </c>
      <c r="D105" s="23" t="s">
        <v>802</v>
      </c>
      <c r="E105" s="6" t="s">
        <v>16</v>
      </c>
      <c r="F105" s="6" t="s">
        <v>90</v>
      </c>
      <c r="G105" s="6" t="s">
        <v>88</v>
      </c>
      <c r="H105" s="6" t="s">
        <v>794</v>
      </c>
      <c r="I105" s="6" t="s">
        <v>728</v>
      </c>
      <c r="J105" s="6">
        <v>1</v>
      </c>
      <c r="K105" s="6" t="s">
        <v>435</v>
      </c>
      <c r="L105" s="14">
        <v>46203</v>
      </c>
      <c r="M105" s="6"/>
      <c r="N105" s="6" t="s">
        <v>144</v>
      </c>
      <c r="O105" s="33">
        <v>46143</v>
      </c>
      <c r="P105" s="31">
        <v>46185</v>
      </c>
      <c r="Q105" s="12">
        <f>VLOOKUP(N105,RefData!$H$2:$I$15,2,)/100</f>
        <v>1</v>
      </c>
      <c r="R105" s="99"/>
      <c r="S105" s="1"/>
    </row>
    <row r="106" spans="1:19" ht="25.35" customHeight="1" x14ac:dyDescent="0.3">
      <c r="A106" s="17" t="s">
        <v>79</v>
      </c>
      <c r="B106" s="28">
        <v>1</v>
      </c>
      <c r="C106" s="6" t="s">
        <v>790</v>
      </c>
      <c r="D106" s="23" t="s">
        <v>793</v>
      </c>
      <c r="E106" s="6" t="s">
        <v>13</v>
      </c>
      <c r="F106" s="6" t="s">
        <v>90</v>
      </c>
      <c r="G106" s="6" t="s">
        <v>88</v>
      </c>
      <c r="H106" s="6" t="s">
        <v>794</v>
      </c>
      <c r="I106" s="6" t="s">
        <v>43</v>
      </c>
      <c r="J106" s="6">
        <v>1</v>
      </c>
      <c r="K106" s="6"/>
      <c r="L106" s="14">
        <v>46188</v>
      </c>
      <c r="M106" s="6"/>
      <c r="N106" s="6" t="s">
        <v>144</v>
      </c>
      <c r="O106" s="33">
        <v>46122</v>
      </c>
      <c r="P106" s="31">
        <v>46178</v>
      </c>
      <c r="Q106" s="12">
        <f>VLOOKUP(N106,RefData!$H$2:$I$15,2,)/100</f>
        <v>1</v>
      </c>
      <c r="R106" s="99"/>
      <c r="S106" s="1"/>
    </row>
    <row r="107" spans="1:19" ht="35.1" customHeight="1" x14ac:dyDescent="0.3">
      <c r="A107" s="17" t="s">
        <v>79</v>
      </c>
      <c r="B107" s="28">
        <v>1</v>
      </c>
      <c r="C107" s="6" t="s">
        <v>799</v>
      </c>
      <c r="D107" s="23" t="s">
        <v>803</v>
      </c>
      <c r="E107" s="6" t="s">
        <v>13</v>
      </c>
      <c r="F107" s="6" t="s">
        <v>90</v>
      </c>
      <c r="G107" s="6" t="s">
        <v>87</v>
      </c>
      <c r="H107" s="6" t="s">
        <v>6</v>
      </c>
      <c r="I107" s="6" t="s">
        <v>207</v>
      </c>
      <c r="J107" s="6">
        <v>0</v>
      </c>
      <c r="K107" s="6" t="s">
        <v>436</v>
      </c>
      <c r="L107" s="14">
        <v>46096</v>
      </c>
      <c r="M107" s="6"/>
      <c r="N107" s="6" t="s">
        <v>144</v>
      </c>
      <c r="O107" s="33">
        <v>46076</v>
      </c>
      <c r="P107" s="31">
        <v>46087</v>
      </c>
      <c r="Q107" s="12">
        <f>VLOOKUP(N107,RefData!$H$2:$I$15,2,)/100</f>
        <v>1</v>
      </c>
      <c r="R107" s="99"/>
      <c r="S107" s="1"/>
    </row>
    <row r="108" spans="1:19" ht="30.6" customHeight="1" x14ac:dyDescent="0.3">
      <c r="A108" s="17" t="s">
        <v>79</v>
      </c>
      <c r="B108" s="28">
        <v>1</v>
      </c>
      <c r="C108" s="6" t="s">
        <v>800</v>
      </c>
      <c r="D108" s="23" t="s">
        <v>804</v>
      </c>
      <c r="E108" s="6" t="s">
        <v>13</v>
      </c>
      <c r="F108" s="6" t="s">
        <v>90</v>
      </c>
      <c r="G108" s="6" t="s">
        <v>87</v>
      </c>
      <c r="H108" s="6" t="s">
        <v>6</v>
      </c>
      <c r="I108" s="6" t="s">
        <v>166</v>
      </c>
      <c r="J108" s="6">
        <v>0</v>
      </c>
      <c r="K108" s="6" t="s">
        <v>436</v>
      </c>
      <c r="L108" s="14">
        <v>46112</v>
      </c>
      <c r="M108" s="6"/>
      <c r="N108" s="6" t="s">
        <v>144</v>
      </c>
      <c r="O108" s="33">
        <v>46077</v>
      </c>
      <c r="P108" s="31">
        <v>46098</v>
      </c>
      <c r="Q108" s="12">
        <f>VLOOKUP(N108,RefData!$H$2:$I$15,2,)/100</f>
        <v>1</v>
      </c>
      <c r="R108" s="99"/>
      <c r="S108" s="1"/>
    </row>
    <row r="109" spans="1:19" ht="32.1" customHeight="1" x14ac:dyDescent="0.3">
      <c r="A109" s="17" t="s">
        <v>79</v>
      </c>
      <c r="B109" s="28">
        <v>1</v>
      </c>
      <c r="C109" s="6" t="s">
        <v>801</v>
      </c>
      <c r="D109" s="23" t="s">
        <v>808</v>
      </c>
      <c r="E109" s="6" t="s">
        <v>14</v>
      </c>
      <c r="F109" s="6" t="s">
        <v>90</v>
      </c>
      <c r="G109" s="6" t="s">
        <v>87</v>
      </c>
      <c r="H109" s="6" t="s">
        <v>6</v>
      </c>
      <c r="I109" s="6" t="s">
        <v>62</v>
      </c>
      <c r="J109" s="6">
        <v>1</v>
      </c>
      <c r="K109" s="6" t="s">
        <v>435</v>
      </c>
      <c r="L109" s="14">
        <v>46142</v>
      </c>
      <c r="M109" s="6"/>
      <c r="N109" s="6" t="s">
        <v>185</v>
      </c>
      <c r="O109" s="33">
        <v>46069</v>
      </c>
      <c r="P109" s="31"/>
      <c r="Q109" s="12">
        <f>VLOOKUP(N109,RefData!$H$2:$I$15,2,)/100</f>
        <v>0.3</v>
      </c>
      <c r="R109" s="99"/>
      <c r="S109" s="1"/>
    </row>
    <row r="110" spans="1:19" ht="30.6" customHeight="1" x14ac:dyDescent="0.3">
      <c r="A110" s="17" t="s">
        <v>79</v>
      </c>
      <c r="B110" s="28">
        <v>1</v>
      </c>
      <c r="C110" s="6" t="s">
        <v>805</v>
      </c>
      <c r="D110" s="23" t="s">
        <v>809</v>
      </c>
      <c r="E110" s="6" t="s">
        <v>13</v>
      </c>
      <c r="F110" s="6" t="s">
        <v>90</v>
      </c>
      <c r="G110" s="6" t="s">
        <v>88</v>
      </c>
      <c r="H110" s="6" t="s">
        <v>794</v>
      </c>
      <c r="I110" s="6" t="s">
        <v>166</v>
      </c>
      <c r="J110" s="6">
        <v>0</v>
      </c>
      <c r="K110" s="6" t="s">
        <v>436</v>
      </c>
      <c r="L110" s="14"/>
      <c r="M110" s="6"/>
      <c r="N110" s="6" t="s">
        <v>185</v>
      </c>
      <c r="O110" s="33">
        <v>46132</v>
      </c>
      <c r="P110" s="31" t="s">
        <v>74</v>
      </c>
      <c r="Q110" s="12">
        <f>VLOOKUP(N110,RefData!$H$2:$I$15,2,)/100</f>
        <v>0.3</v>
      </c>
      <c r="R110" s="99"/>
      <c r="S110" s="1"/>
    </row>
    <row r="111" spans="1:19" ht="34.200000000000003" customHeight="1" x14ac:dyDescent="0.3">
      <c r="A111" s="17" t="s">
        <v>79</v>
      </c>
      <c r="B111" s="28">
        <v>1</v>
      </c>
      <c r="C111" s="6" t="s">
        <v>806</v>
      </c>
      <c r="D111" s="23" t="s">
        <v>810</v>
      </c>
      <c r="E111" s="6" t="s">
        <v>13</v>
      </c>
      <c r="F111" s="6" t="s">
        <v>90</v>
      </c>
      <c r="G111" s="6" t="s">
        <v>88</v>
      </c>
      <c r="H111" s="6" t="s">
        <v>794</v>
      </c>
      <c r="I111" s="6" t="s">
        <v>166</v>
      </c>
      <c r="J111" s="6">
        <v>0</v>
      </c>
      <c r="K111" s="6" t="s">
        <v>436</v>
      </c>
      <c r="L111" s="14"/>
      <c r="M111" s="6"/>
      <c r="N111" s="6" t="s">
        <v>187</v>
      </c>
      <c r="O111" s="33"/>
      <c r="P111" s="31"/>
      <c r="Q111" s="12">
        <f>VLOOKUP(N111,RefData!$H$2:$I$15,2,)/100</f>
        <v>0</v>
      </c>
      <c r="R111" s="99"/>
      <c r="S111" s="1"/>
    </row>
    <row r="112" spans="1:19" ht="57.6" x14ac:dyDescent="0.3">
      <c r="A112" s="17" t="s">
        <v>79</v>
      </c>
      <c r="B112" s="28">
        <v>1</v>
      </c>
      <c r="C112" s="6" t="s">
        <v>807</v>
      </c>
      <c r="D112" s="23" t="s">
        <v>811</v>
      </c>
      <c r="E112" s="6" t="s">
        <v>13</v>
      </c>
      <c r="F112" s="6" t="s">
        <v>90</v>
      </c>
      <c r="G112" s="6" t="s">
        <v>88</v>
      </c>
      <c r="H112" s="6" t="s">
        <v>794</v>
      </c>
      <c r="I112" s="6" t="s">
        <v>291</v>
      </c>
      <c r="J112" s="6">
        <v>0</v>
      </c>
      <c r="K112" s="6" t="s">
        <v>436</v>
      </c>
      <c r="L112" s="14">
        <v>46112</v>
      </c>
      <c r="M112" s="6"/>
      <c r="N112" s="6" t="s">
        <v>144</v>
      </c>
      <c r="O112" s="33">
        <v>46065</v>
      </c>
      <c r="P112" s="31">
        <v>46106</v>
      </c>
      <c r="Q112" s="12">
        <f>VLOOKUP(N112,RefData!$H$2:$I$15,2,)/100</f>
        <v>1</v>
      </c>
      <c r="R112" s="99"/>
      <c r="S112" s="1"/>
    </row>
    <row r="113" spans="1:19" ht="120" customHeight="1" x14ac:dyDescent="0.3">
      <c r="A113" s="17" t="s">
        <v>79</v>
      </c>
      <c r="B113" s="28">
        <v>1</v>
      </c>
      <c r="C113" s="6" t="s">
        <v>834</v>
      </c>
      <c r="D113" s="23" t="s">
        <v>851</v>
      </c>
      <c r="E113" s="6" t="s">
        <v>13</v>
      </c>
      <c r="F113" s="6" t="s">
        <v>90</v>
      </c>
      <c r="G113" s="6" t="s">
        <v>87</v>
      </c>
      <c r="H113" s="6" t="s">
        <v>6</v>
      </c>
      <c r="I113" s="6" t="s">
        <v>291</v>
      </c>
      <c r="J113" s="6">
        <v>0</v>
      </c>
      <c r="K113" s="6" t="s">
        <v>436</v>
      </c>
      <c r="L113" s="14">
        <v>46173</v>
      </c>
      <c r="M113" s="6"/>
      <c r="N113" s="6" t="s">
        <v>144</v>
      </c>
      <c r="O113" s="33">
        <v>46135</v>
      </c>
      <c r="P113" s="31">
        <v>46167</v>
      </c>
      <c r="Q113" s="12">
        <f>VLOOKUP(N113,RefData!$H$2:$I$15,2,)/100</f>
        <v>1</v>
      </c>
      <c r="R113" s="99" t="s">
        <v>862</v>
      </c>
      <c r="S113" s="1"/>
    </row>
    <row r="114" spans="1:19" ht="55.2" customHeight="1" x14ac:dyDescent="0.3">
      <c r="A114" s="17" t="s">
        <v>79</v>
      </c>
      <c r="B114" s="28">
        <v>1</v>
      </c>
      <c r="C114" s="6" t="s">
        <v>836</v>
      </c>
      <c r="D114" s="23" t="s">
        <v>835</v>
      </c>
      <c r="E114" s="6" t="s">
        <v>14</v>
      </c>
      <c r="F114" s="6" t="s">
        <v>90</v>
      </c>
      <c r="G114" s="6" t="s">
        <v>87</v>
      </c>
      <c r="H114" s="6" t="s">
        <v>6</v>
      </c>
      <c r="I114" s="6" t="s">
        <v>62</v>
      </c>
      <c r="J114" s="6">
        <v>0</v>
      </c>
      <c r="K114" s="6" t="s">
        <v>436</v>
      </c>
      <c r="L114" s="14">
        <v>46115</v>
      </c>
      <c r="M114" s="6"/>
      <c r="N114" s="6" t="s">
        <v>144</v>
      </c>
      <c r="O114" s="33">
        <v>46111</v>
      </c>
      <c r="P114" s="31">
        <v>46114</v>
      </c>
      <c r="Q114" s="12">
        <f>VLOOKUP(N114,RefData!$H$2:$I$15,2,)/100</f>
        <v>1</v>
      </c>
      <c r="R114" s="99"/>
      <c r="S114" s="1"/>
    </row>
    <row r="115" spans="1:19" ht="28.8" x14ac:dyDescent="0.3">
      <c r="A115" s="17" t="s">
        <v>79</v>
      </c>
      <c r="B115" s="28">
        <v>1</v>
      </c>
      <c r="C115" s="6" t="s">
        <v>863</v>
      </c>
      <c r="D115" s="23" t="s">
        <v>852</v>
      </c>
      <c r="E115" s="6" t="s">
        <v>13</v>
      </c>
      <c r="F115" s="6" t="s">
        <v>90</v>
      </c>
      <c r="G115" s="6" t="s">
        <v>87</v>
      </c>
      <c r="H115" s="6" t="s">
        <v>6</v>
      </c>
      <c r="I115" s="6" t="s">
        <v>43</v>
      </c>
      <c r="J115" s="6">
        <v>0</v>
      </c>
      <c r="K115" s="6" t="s">
        <v>436</v>
      </c>
      <c r="L115" s="14">
        <v>46173</v>
      </c>
      <c r="M115" s="6"/>
      <c r="N115" s="6" t="s">
        <v>144</v>
      </c>
      <c r="O115" s="33">
        <v>46113</v>
      </c>
      <c r="P115" s="31">
        <v>46171</v>
      </c>
      <c r="Q115" s="12">
        <f>VLOOKUP(N115,RefData!$H$2:$I$15,2,)/100</f>
        <v>1</v>
      </c>
      <c r="R115" s="99" t="s">
        <v>853</v>
      </c>
      <c r="S115" s="1"/>
    </row>
    <row r="116" spans="1:19" ht="36" customHeight="1" x14ac:dyDescent="0.3">
      <c r="A116" s="17" t="s">
        <v>79</v>
      </c>
      <c r="B116" s="28">
        <v>1</v>
      </c>
      <c r="C116" s="6" t="s">
        <v>864</v>
      </c>
      <c r="D116" s="23" t="s">
        <v>837</v>
      </c>
      <c r="E116" s="6" t="s">
        <v>14</v>
      </c>
      <c r="F116" s="6" t="s">
        <v>90</v>
      </c>
      <c r="G116" s="6" t="s">
        <v>87</v>
      </c>
      <c r="H116" s="6" t="s">
        <v>6</v>
      </c>
      <c r="I116" s="6" t="s">
        <v>62</v>
      </c>
      <c r="J116" s="6">
        <v>0</v>
      </c>
      <c r="K116" s="6" t="s">
        <v>436</v>
      </c>
      <c r="L116" s="14">
        <v>46203</v>
      </c>
      <c r="M116" s="6"/>
      <c r="N116" s="6" t="s">
        <v>144</v>
      </c>
      <c r="O116" s="33">
        <v>46176</v>
      </c>
      <c r="P116" s="31">
        <v>46185</v>
      </c>
      <c r="Q116" s="12">
        <f>VLOOKUP(N116,RefData!$H$2:$I$15,2,)/100</f>
        <v>1</v>
      </c>
      <c r="R116" s="99"/>
      <c r="S116" s="1"/>
    </row>
    <row r="117" spans="1:19" ht="15.6" x14ac:dyDescent="0.3">
      <c r="A117" s="17" t="s">
        <v>79</v>
      </c>
      <c r="B117" s="28">
        <v>1</v>
      </c>
      <c r="C117" s="6" t="s">
        <v>865</v>
      </c>
      <c r="D117" s="23" t="s">
        <v>868</v>
      </c>
      <c r="E117" s="6" t="s">
        <v>14</v>
      </c>
      <c r="F117" s="6" t="s">
        <v>90</v>
      </c>
      <c r="G117" s="6" t="s">
        <v>87</v>
      </c>
      <c r="H117" s="6" t="s">
        <v>6</v>
      </c>
      <c r="I117" s="6" t="s">
        <v>62</v>
      </c>
      <c r="J117" s="6">
        <v>1</v>
      </c>
      <c r="K117" s="6" t="s">
        <v>436</v>
      </c>
      <c r="L117" s="14">
        <v>46203</v>
      </c>
      <c r="M117" s="6"/>
      <c r="N117" s="6" t="s">
        <v>144</v>
      </c>
      <c r="O117" s="33">
        <v>46153</v>
      </c>
      <c r="P117" s="31">
        <v>46179</v>
      </c>
      <c r="Q117" s="12">
        <f>VLOOKUP(N117,RefData!$H$2:$I$15,2,)/100</f>
        <v>1</v>
      </c>
      <c r="R117" s="99"/>
      <c r="S117" s="1"/>
    </row>
    <row r="118" spans="1:19" ht="43.2" x14ac:dyDescent="0.3">
      <c r="A118" s="17" t="s">
        <v>79</v>
      </c>
      <c r="B118" s="28">
        <v>1</v>
      </c>
      <c r="C118" s="6" t="s">
        <v>866</v>
      </c>
      <c r="D118" s="23" t="s">
        <v>876</v>
      </c>
      <c r="E118" s="6" t="s">
        <v>13</v>
      </c>
      <c r="F118" s="6" t="s">
        <v>90</v>
      </c>
      <c r="G118" s="6" t="s">
        <v>87</v>
      </c>
      <c r="H118" s="6" t="s">
        <v>6</v>
      </c>
      <c r="I118" s="6" t="s">
        <v>166</v>
      </c>
      <c r="J118" s="6">
        <v>0</v>
      </c>
      <c r="K118" s="6"/>
      <c r="L118" s="14">
        <v>46185</v>
      </c>
      <c r="M118" s="6"/>
      <c r="N118" s="6" t="s">
        <v>144</v>
      </c>
      <c r="O118" s="33">
        <v>46181</v>
      </c>
      <c r="P118" s="31">
        <v>46185</v>
      </c>
      <c r="Q118" s="12">
        <f>VLOOKUP(N118,RefData!$H$2:$I$15,2,)/100</f>
        <v>1</v>
      </c>
      <c r="R118" s="99" t="s">
        <v>877</v>
      </c>
      <c r="S118" s="1"/>
    </row>
    <row r="119" spans="1:19" ht="38.549999999999997" customHeight="1" x14ac:dyDescent="0.3">
      <c r="A119" s="17" t="s">
        <v>79</v>
      </c>
      <c r="B119" s="28">
        <v>1</v>
      </c>
      <c r="C119" s="6" t="s">
        <v>867</v>
      </c>
      <c r="D119" s="23" t="s">
        <v>878</v>
      </c>
      <c r="E119" s="6" t="s">
        <v>13</v>
      </c>
      <c r="F119" s="6" t="s">
        <v>90</v>
      </c>
      <c r="G119" s="6" t="s">
        <v>88</v>
      </c>
      <c r="H119" s="6" t="s">
        <v>794</v>
      </c>
      <c r="I119" s="6" t="s">
        <v>291</v>
      </c>
      <c r="J119" s="6">
        <v>0</v>
      </c>
      <c r="K119" s="6" t="s">
        <v>436</v>
      </c>
      <c r="L119" s="14">
        <v>46234</v>
      </c>
      <c r="M119" s="6"/>
      <c r="N119" s="6" t="s">
        <v>185</v>
      </c>
      <c r="O119" s="33">
        <v>46183</v>
      </c>
      <c r="P119" s="31"/>
      <c r="Q119" s="12">
        <f>VLOOKUP(N119,RefData!$H$2:$I$15,2,)/100</f>
        <v>0.3</v>
      </c>
      <c r="R119" s="99" t="s">
        <v>893</v>
      </c>
      <c r="S119" s="1"/>
    </row>
    <row r="120" spans="1:19" ht="30" customHeight="1" x14ac:dyDescent="0.3">
      <c r="A120" s="17" t="s">
        <v>79</v>
      </c>
      <c r="B120" s="28">
        <v>1</v>
      </c>
      <c r="C120" s="6" t="s">
        <v>889</v>
      </c>
      <c r="D120" s="23" t="s">
        <v>888</v>
      </c>
      <c r="E120" s="6" t="s">
        <v>13</v>
      </c>
      <c r="F120" s="6" t="s">
        <v>90</v>
      </c>
      <c r="G120" s="6" t="s">
        <v>87</v>
      </c>
      <c r="H120" s="6" t="s">
        <v>6</v>
      </c>
      <c r="I120" s="6" t="s">
        <v>166</v>
      </c>
      <c r="J120" s="6">
        <v>0</v>
      </c>
      <c r="K120" s="6"/>
      <c r="L120" s="14">
        <v>46213</v>
      </c>
      <c r="M120" s="6"/>
      <c r="N120" s="6" t="s">
        <v>144</v>
      </c>
      <c r="O120" s="33">
        <v>46202</v>
      </c>
      <c r="P120" s="31">
        <v>46209</v>
      </c>
      <c r="Q120" s="12">
        <f>VLOOKUP(N120,RefData!$H$2:$I$15,2,)/100</f>
        <v>1</v>
      </c>
      <c r="R120" s="99"/>
      <c r="S120" s="1"/>
    </row>
    <row r="121" spans="1:19" ht="28.8" x14ac:dyDescent="0.3">
      <c r="A121" s="17" t="s">
        <v>79</v>
      </c>
      <c r="B121" s="28">
        <v>1</v>
      </c>
      <c r="C121" s="6" t="s">
        <v>891</v>
      </c>
      <c r="D121" s="23" t="s">
        <v>890</v>
      </c>
      <c r="E121" s="6" t="s">
        <v>13</v>
      </c>
      <c r="F121" s="6" t="s">
        <v>90</v>
      </c>
      <c r="G121" s="6" t="s">
        <v>87</v>
      </c>
      <c r="H121" s="6" t="s">
        <v>6</v>
      </c>
      <c r="I121" s="6" t="s">
        <v>43</v>
      </c>
      <c r="J121" s="6">
        <v>0</v>
      </c>
      <c r="K121" s="6"/>
      <c r="L121" s="14">
        <v>46213</v>
      </c>
      <c r="M121" s="6"/>
      <c r="N121" s="6" t="s">
        <v>144</v>
      </c>
      <c r="O121" s="33">
        <v>46209</v>
      </c>
      <c r="P121" s="31">
        <v>46211</v>
      </c>
      <c r="Q121" s="12">
        <f>VLOOKUP(N121,RefData!$H$2:$I$15,2,)/100</f>
        <v>1</v>
      </c>
      <c r="R121" s="99"/>
      <c r="S121" s="1"/>
    </row>
    <row r="122" spans="1:19" ht="15.6" x14ac:dyDescent="0.3">
      <c r="A122" s="17" t="s">
        <v>79</v>
      </c>
      <c r="B122" s="28">
        <v>1</v>
      </c>
      <c r="C122" s="6" t="s">
        <v>892</v>
      </c>
      <c r="D122" s="23" t="s">
        <v>894</v>
      </c>
      <c r="E122" s="6" t="s">
        <v>767</v>
      </c>
      <c r="F122" s="6" t="s">
        <v>90</v>
      </c>
      <c r="G122" s="6" t="s">
        <v>87</v>
      </c>
      <c r="H122" s="6" t="s">
        <v>6</v>
      </c>
      <c r="I122" s="6" t="s">
        <v>717</v>
      </c>
      <c r="J122" s="6">
        <v>0</v>
      </c>
      <c r="K122" s="6"/>
      <c r="L122" s="14">
        <v>46204</v>
      </c>
      <c r="M122" s="6"/>
      <c r="N122" s="6" t="s">
        <v>144</v>
      </c>
      <c r="O122" s="33">
        <v>46205</v>
      </c>
      <c r="P122" s="31">
        <v>46211</v>
      </c>
      <c r="Q122" s="12">
        <f>VLOOKUP(N122,RefData!$H$2:$I$15,2,)/100</f>
        <v>1</v>
      </c>
      <c r="R122" s="99"/>
      <c r="S122" s="1"/>
    </row>
    <row r="123" spans="1:19" ht="28.2" customHeight="1" x14ac:dyDescent="0.3">
      <c r="A123" s="17" t="s">
        <v>79</v>
      </c>
      <c r="B123" s="28">
        <v>1</v>
      </c>
      <c r="C123" s="6" t="s">
        <v>895</v>
      </c>
      <c r="D123" s="23" t="s">
        <v>896</v>
      </c>
      <c r="E123" s="6" t="s">
        <v>14</v>
      </c>
      <c r="F123" s="6" t="s">
        <v>90</v>
      </c>
      <c r="G123" s="6" t="s">
        <v>87</v>
      </c>
      <c r="H123" s="6" t="s">
        <v>6</v>
      </c>
      <c r="I123" s="6" t="s">
        <v>897</v>
      </c>
      <c r="J123" s="6">
        <v>1</v>
      </c>
      <c r="K123" s="6"/>
      <c r="L123" s="14">
        <v>46234</v>
      </c>
      <c r="M123" s="6"/>
      <c r="N123" s="6" t="s">
        <v>185</v>
      </c>
      <c r="O123" s="33">
        <v>46190</v>
      </c>
      <c r="P123" s="31"/>
      <c r="Q123" s="12">
        <f>VLOOKUP(N123,RefData!$H$2:$I$15,2,)/100</f>
        <v>0.3</v>
      </c>
      <c r="R123" s="99"/>
      <c r="S123" s="1"/>
    </row>
    <row r="124" spans="1:19" ht="28.2" customHeight="1" x14ac:dyDescent="0.3">
      <c r="A124" s="17" t="s">
        <v>79</v>
      </c>
      <c r="B124" s="28">
        <v>1</v>
      </c>
      <c r="C124" s="6" t="s">
        <v>898</v>
      </c>
      <c r="D124" s="23" t="s">
        <v>899</v>
      </c>
      <c r="E124" s="6" t="s">
        <v>13</v>
      </c>
      <c r="F124" s="6" t="s">
        <v>90</v>
      </c>
      <c r="G124" s="6" t="s">
        <v>87</v>
      </c>
      <c r="H124" s="6" t="s">
        <v>6</v>
      </c>
      <c r="I124" s="6" t="s">
        <v>166</v>
      </c>
      <c r="J124" s="6">
        <v>1</v>
      </c>
      <c r="K124" s="6" t="s">
        <v>435</v>
      </c>
      <c r="L124" s="14">
        <v>46220</v>
      </c>
      <c r="M124" s="6"/>
      <c r="N124" s="6" t="s">
        <v>144</v>
      </c>
      <c r="O124" s="33">
        <v>46202</v>
      </c>
      <c r="P124" s="31">
        <v>46213</v>
      </c>
      <c r="Q124" s="12">
        <f>VLOOKUP(N124,RefData!$H$2:$I$15,2,)/100</f>
        <v>1</v>
      </c>
      <c r="R124" s="99"/>
      <c r="S124" s="1"/>
    </row>
    <row r="125" spans="1:19" ht="28.2" customHeight="1" x14ac:dyDescent="0.3">
      <c r="A125" s="17" t="s">
        <v>79</v>
      </c>
      <c r="B125" s="28">
        <v>1</v>
      </c>
      <c r="C125" s="6" t="s">
        <v>901</v>
      </c>
      <c r="D125" s="23" t="s">
        <v>902</v>
      </c>
      <c r="E125" s="6" t="s">
        <v>13</v>
      </c>
      <c r="F125" s="6" t="s">
        <v>90</v>
      </c>
      <c r="G125" s="6" t="s">
        <v>87</v>
      </c>
      <c r="H125" s="6" t="s">
        <v>6</v>
      </c>
      <c r="I125" s="6" t="s">
        <v>166</v>
      </c>
      <c r="J125" s="6">
        <v>1</v>
      </c>
      <c r="K125" s="6"/>
      <c r="L125" s="14">
        <v>46227</v>
      </c>
      <c r="M125" s="6"/>
      <c r="N125" s="6" t="s">
        <v>144</v>
      </c>
      <c r="O125" s="33">
        <v>46211</v>
      </c>
      <c r="P125" s="31">
        <v>46220</v>
      </c>
      <c r="Q125" s="12">
        <f>VLOOKUP(N125,RefData!$H$2:$I$15,2,)/100</f>
        <v>1</v>
      </c>
      <c r="R125" s="99"/>
      <c r="S125" s="1"/>
    </row>
    <row r="126" spans="1:19" ht="71.55" customHeight="1" x14ac:dyDescent="0.3">
      <c r="A126" s="17" t="s">
        <v>79</v>
      </c>
      <c r="B126" s="74" t="s">
        <v>640</v>
      </c>
      <c r="C126" s="6" t="s">
        <v>907</v>
      </c>
      <c r="D126" s="23" t="s">
        <v>900</v>
      </c>
      <c r="E126" s="6" t="s">
        <v>13</v>
      </c>
      <c r="F126" s="6" t="s">
        <v>90</v>
      </c>
      <c r="G126" s="6" t="s">
        <v>88</v>
      </c>
      <c r="H126" s="6" t="s">
        <v>795</v>
      </c>
      <c r="I126" s="6" t="s">
        <v>166</v>
      </c>
      <c r="J126" s="6">
        <v>0</v>
      </c>
      <c r="K126" s="6" t="s">
        <v>435</v>
      </c>
      <c r="L126" s="14">
        <v>46227</v>
      </c>
      <c r="M126" s="6"/>
      <c r="N126" s="6" t="s">
        <v>185</v>
      </c>
      <c r="O126" s="33">
        <v>46209</v>
      </c>
      <c r="P126" s="31"/>
      <c r="Q126" s="12">
        <f>VLOOKUP(N126,RefData!$H$2:$I$15,2,)/100</f>
        <v>0.3</v>
      </c>
      <c r="R126" s="9" t="s">
        <v>903</v>
      </c>
      <c r="S126" s="1"/>
    </row>
    <row r="127" spans="1:19" ht="28.2" customHeight="1" x14ac:dyDescent="0.3">
      <c r="A127" s="17" t="s">
        <v>79</v>
      </c>
      <c r="B127" s="28">
        <v>1</v>
      </c>
      <c r="C127" s="6" t="s">
        <v>908</v>
      </c>
      <c r="D127" s="23" t="s">
        <v>910</v>
      </c>
      <c r="E127" s="6" t="s">
        <v>13</v>
      </c>
      <c r="F127" s="6" t="s">
        <v>90</v>
      </c>
      <c r="G127" s="6" t="s">
        <v>87</v>
      </c>
      <c r="H127" s="6" t="s">
        <v>6</v>
      </c>
      <c r="I127" s="6" t="s">
        <v>166</v>
      </c>
      <c r="J127" s="6">
        <v>0</v>
      </c>
      <c r="K127" s="6"/>
      <c r="L127" s="14">
        <v>46227</v>
      </c>
      <c r="M127" s="6"/>
      <c r="N127" s="6" t="s">
        <v>144</v>
      </c>
      <c r="O127" s="33">
        <v>46192</v>
      </c>
      <c r="P127" s="31">
        <v>46225</v>
      </c>
      <c r="Q127" s="12">
        <f>VLOOKUP(N127,RefData!$H$2:$I$15,2,)/100</f>
        <v>1</v>
      </c>
      <c r="R127" s="99"/>
      <c r="S127" s="1"/>
    </row>
    <row r="128" spans="1:19" ht="28.2" customHeight="1" x14ac:dyDescent="0.3">
      <c r="A128" s="17" t="s">
        <v>79</v>
      </c>
      <c r="B128" s="28">
        <v>1</v>
      </c>
      <c r="C128" s="6" t="s">
        <v>909</v>
      </c>
      <c r="D128" s="23" t="s">
        <v>911</v>
      </c>
      <c r="E128" s="6" t="s">
        <v>13</v>
      </c>
      <c r="F128" s="6" t="s">
        <v>90</v>
      </c>
      <c r="G128" s="6" t="s">
        <v>87</v>
      </c>
      <c r="H128" s="6" t="s">
        <v>6</v>
      </c>
      <c r="I128" s="6" t="s">
        <v>166</v>
      </c>
      <c r="J128" s="6">
        <v>0</v>
      </c>
      <c r="K128" s="6"/>
      <c r="L128" s="14">
        <v>46227</v>
      </c>
      <c r="M128" s="6"/>
      <c r="N128" s="6" t="s">
        <v>144</v>
      </c>
      <c r="O128" s="33">
        <v>46211</v>
      </c>
      <c r="P128" s="31">
        <v>46225</v>
      </c>
      <c r="Q128" s="12">
        <f>VLOOKUP(N128,RefData!$H$2:$I$15,2,)/100</f>
        <v>1</v>
      </c>
      <c r="R128" s="99"/>
      <c r="S128" s="1"/>
    </row>
    <row r="129" spans="1:19" ht="28.8" x14ac:dyDescent="0.3">
      <c r="A129" s="17" t="s">
        <v>79</v>
      </c>
      <c r="B129" s="28">
        <v>1</v>
      </c>
      <c r="C129" s="6" t="s">
        <v>909</v>
      </c>
      <c r="D129" s="23" t="s">
        <v>913</v>
      </c>
      <c r="E129" s="6" t="s">
        <v>13</v>
      </c>
      <c r="F129" s="6" t="s">
        <v>90</v>
      </c>
      <c r="G129" s="6" t="s">
        <v>87</v>
      </c>
      <c r="H129" s="6" t="s">
        <v>6</v>
      </c>
      <c r="I129" s="6" t="s">
        <v>6</v>
      </c>
      <c r="J129" s="6">
        <v>1</v>
      </c>
      <c r="K129" s="6"/>
      <c r="L129" s="14">
        <v>46227</v>
      </c>
      <c r="M129" s="6"/>
      <c r="N129" s="6" t="s">
        <v>144</v>
      </c>
      <c r="O129" s="33">
        <v>46223</v>
      </c>
      <c r="P129" s="14">
        <v>46226</v>
      </c>
      <c r="Q129" s="12">
        <f>VLOOKUP(N129,RefData!$H$2:$I$15,2,)/100</f>
        <v>1</v>
      </c>
      <c r="R129" s="99" t="s">
        <v>912</v>
      </c>
      <c r="S129" s="1"/>
    </row>
    <row r="130" spans="1:19" ht="15.6" x14ac:dyDescent="0.3">
      <c r="A130" s="17" t="s">
        <v>79</v>
      </c>
      <c r="B130" s="28">
        <v>1</v>
      </c>
      <c r="C130" s="6" t="s">
        <v>255</v>
      </c>
      <c r="D130" s="23" t="s">
        <v>256</v>
      </c>
      <c r="E130" s="6" t="s">
        <v>16</v>
      </c>
      <c r="F130" s="6" t="s">
        <v>90</v>
      </c>
      <c r="G130" s="6" t="s">
        <v>88</v>
      </c>
      <c r="H130" s="6" t="s">
        <v>7</v>
      </c>
      <c r="I130" s="6" t="s">
        <v>265</v>
      </c>
      <c r="J130" s="6">
        <v>0</v>
      </c>
      <c r="K130" s="6" t="s">
        <v>435</v>
      </c>
      <c r="L130" s="14"/>
      <c r="M130" s="6"/>
      <c r="N130" s="6" t="s">
        <v>144</v>
      </c>
      <c r="O130" s="33">
        <v>45567</v>
      </c>
      <c r="P130" s="14">
        <v>45593</v>
      </c>
      <c r="Q130" s="12">
        <f>VLOOKUP(N130,RefData!$H$2:$I$15,2,)/100</f>
        <v>1</v>
      </c>
      <c r="R130" s="99"/>
      <c r="S130" s="1"/>
    </row>
    <row r="131" spans="1:19" ht="15.6" x14ac:dyDescent="0.3">
      <c r="A131" s="17" t="s">
        <v>79</v>
      </c>
      <c r="B131" s="28">
        <v>0</v>
      </c>
      <c r="C131" s="6" t="s">
        <v>318</v>
      </c>
      <c r="D131" s="23" t="s">
        <v>314</v>
      </c>
      <c r="E131" s="6" t="s">
        <v>16</v>
      </c>
      <c r="F131" s="6" t="s">
        <v>90</v>
      </c>
      <c r="G131" s="6" t="s">
        <v>88</v>
      </c>
      <c r="H131" s="6" t="s">
        <v>7</v>
      </c>
      <c r="I131" s="6" t="s">
        <v>265</v>
      </c>
      <c r="J131" s="6">
        <v>0</v>
      </c>
      <c r="K131" s="6" t="s">
        <v>435</v>
      </c>
      <c r="L131" s="14"/>
      <c r="M131" s="6"/>
      <c r="N131" s="6" t="s">
        <v>144</v>
      </c>
      <c r="O131" s="33">
        <v>45567</v>
      </c>
      <c r="P131" s="14">
        <v>45593</v>
      </c>
      <c r="Q131" s="12">
        <f>VLOOKUP(N131,RefData!$H$2:$I$15,2,)/100</f>
        <v>1</v>
      </c>
      <c r="R131" s="99"/>
      <c r="S131" s="1"/>
    </row>
    <row r="132" spans="1:19" ht="15.6" x14ac:dyDescent="0.3">
      <c r="A132" s="17" t="s">
        <v>79</v>
      </c>
      <c r="B132" s="28">
        <v>0</v>
      </c>
      <c r="C132" s="6" t="s">
        <v>266</v>
      </c>
      <c r="D132" s="23" t="s">
        <v>257</v>
      </c>
      <c r="E132" s="6" t="s">
        <v>16</v>
      </c>
      <c r="F132" s="6" t="s">
        <v>90</v>
      </c>
      <c r="G132" s="6" t="s">
        <v>88</v>
      </c>
      <c r="H132" s="6" t="s">
        <v>7</v>
      </c>
      <c r="I132" s="6" t="s">
        <v>265</v>
      </c>
      <c r="J132" s="6">
        <v>0</v>
      </c>
      <c r="K132" s="6" t="s">
        <v>435</v>
      </c>
      <c r="L132" s="14">
        <v>45593</v>
      </c>
      <c r="M132" s="6"/>
      <c r="N132" s="6" t="s">
        <v>144</v>
      </c>
      <c r="O132" s="33">
        <v>45567</v>
      </c>
      <c r="P132" s="14">
        <v>45593</v>
      </c>
      <c r="Q132" s="12">
        <f>VLOOKUP(N132,RefData!$H$2:$I$15,2,)/100</f>
        <v>1</v>
      </c>
      <c r="R132" s="99"/>
      <c r="S132" s="1"/>
    </row>
    <row r="133" spans="1:19" ht="28.8" x14ac:dyDescent="0.3">
      <c r="A133" s="17" t="s">
        <v>79</v>
      </c>
      <c r="B133" s="28">
        <v>0</v>
      </c>
      <c r="C133" s="6" t="s">
        <v>267</v>
      </c>
      <c r="D133" s="23" t="s">
        <v>258</v>
      </c>
      <c r="E133" s="6" t="s">
        <v>16</v>
      </c>
      <c r="F133" s="6" t="s">
        <v>90</v>
      </c>
      <c r="G133" s="6" t="s">
        <v>88</v>
      </c>
      <c r="H133" s="6" t="s">
        <v>7</v>
      </c>
      <c r="I133" s="6" t="s">
        <v>265</v>
      </c>
      <c r="J133" s="6">
        <v>0</v>
      </c>
      <c r="K133" s="6" t="s">
        <v>435</v>
      </c>
      <c r="L133" s="14">
        <v>45593</v>
      </c>
      <c r="M133" s="6"/>
      <c r="N133" s="6" t="s">
        <v>144</v>
      </c>
      <c r="O133" s="33">
        <v>45567</v>
      </c>
      <c r="P133" s="31"/>
      <c r="Q133" s="12">
        <f>VLOOKUP(N133,RefData!$H$2:$I$15,2,)/100</f>
        <v>1</v>
      </c>
      <c r="R133" s="99"/>
      <c r="S133" s="1"/>
    </row>
    <row r="134" spans="1:19" ht="15.6" x14ac:dyDescent="0.3">
      <c r="A134" s="17" t="s">
        <v>79</v>
      </c>
      <c r="B134" s="28">
        <v>0</v>
      </c>
      <c r="C134" s="6" t="s">
        <v>268</v>
      </c>
      <c r="D134" s="23" t="s">
        <v>259</v>
      </c>
      <c r="E134" s="6" t="s">
        <v>16</v>
      </c>
      <c r="F134" s="6" t="s">
        <v>90</v>
      </c>
      <c r="G134" s="6" t="s">
        <v>88</v>
      </c>
      <c r="H134" s="6" t="s">
        <v>7</v>
      </c>
      <c r="I134" s="6" t="s">
        <v>265</v>
      </c>
      <c r="J134" s="6">
        <v>0</v>
      </c>
      <c r="K134" s="6" t="s">
        <v>435</v>
      </c>
      <c r="L134" s="14">
        <v>45593</v>
      </c>
      <c r="M134" s="6"/>
      <c r="N134" s="6" t="s">
        <v>144</v>
      </c>
      <c r="O134" s="33">
        <v>45567</v>
      </c>
      <c r="P134" s="14">
        <v>45593</v>
      </c>
      <c r="Q134" s="12">
        <f>VLOOKUP(N134,RefData!$H$2:$I$15,2,)/100</f>
        <v>1</v>
      </c>
      <c r="R134" s="99"/>
      <c r="S134" s="1"/>
    </row>
    <row r="135" spans="1:19" ht="15.6" x14ac:dyDescent="0.3">
      <c r="A135" s="17" t="s">
        <v>79</v>
      </c>
      <c r="B135" s="28">
        <v>0</v>
      </c>
      <c r="C135" s="6" t="s">
        <v>269</v>
      </c>
      <c r="D135" s="23" t="s">
        <v>260</v>
      </c>
      <c r="E135" s="6" t="s">
        <v>16</v>
      </c>
      <c r="F135" s="6" t="s">
        <v>90</v>
      </c>
      <c r="G135" s="6" t="s">
        <v>88</v>
      </c>
      <c r="H135" s="6" t="s">
        <v>7</v>
      </c>
      <c r="I135" s="6" t="s">
        <v>265</v>
      </c>
      <c r="J135" s="6">
        <v>0</v>
      </c>
      <c r="K135" s="6" t="s">
        <v>435</v>
      </c>
      <c r="L135" s="14">
        <v>45593</v>
      </c>
      <c r="M135" s="6"/>
      <c r="N135" s="6" t="s">
        <v>144</v>
      </c>
      <c r="O135" s="33">
        <v>45567</v>
      </c>
      <c r="P135" s="14">
        <v>45593</v>
      </c>
      <c r="Q135" s="12">
        <f>VLOOKUP(N135,RefData!$H$2:$I$15,2,)/100</f>
        <v>1</v>
      </c>
      <c r="R135" s="99"/>
      <c r="S135" s="1"/>
    </row>
    <row r="136" spans="1:19" ht="15.6" x14ac:dyDescent="0.3">
      <c r="A136" s="17" t="s">
        <v>79</v>
      </c>
      <c r="B136" s="28">
        <v>0</v>
      </c>
      <c r="C136" s="6" t="s">
        <v>270</v>
      </c>
      <c r="D136" s="23" t="s">
        <v>261</v>
      </c>
      <c r="E136" s="6" t="s">
        <v>16</v>
      </c>
      <c r="F136" s="6" t="s">
        <v>90</v>
      </c>
      <c r="G136" s="6" t="s">
        <v>88</v>
      </c>
      <c r="H136" s="6" t="s">
        <v>7</v>
      </c>
      <c r="I136" s="6" t="s">
        <v>265</v>
      </c>
      <c r="J136" s="6">
        <v>0</v>
      </c>
      <c r="K136" s="6" t="s">
        <v>435</v>
      </c>
      <c r="L136" s="14"/>
      <c r="M136" s="6"/>
      <c r="N136" s="6" t="s">
        <v>144</v>
      </c>
      <c r="O136" s="33">
        <v>45567</v>
      </c>
      <c r="P136" s="14">
        <v>45593</v>
      </c>
      <c r="Q136" s="12">
        <f>VLOOKUP(N136,RefData!$H$2:$I$15,2,)/100</f>
        <v>1</v>
      </c>
      <c r="R136" s="99"/>
      <c r="S136" s="1"/>
    </row>
    <row r="137" spans="1:19" ht="15.6" x14ac:dyDescent="0.3">
      <c r="A137" s="17" t="s">
        <v>79</v>
      </c>
      <c r="B137" s="28">
        <v>0</v>
      </c>
      <c r="C137" s="6" t="s">
        <v>271</v>
      </c>
      <c r="D137" s="23" t="s">
        <v>262</v>
      </c>
      <c r="E137" s="6" t="s">
        <v>16</v>
      </c>
      <c r="F137" s="6" t="s">
        <v>90</v>
      </c>
      <c r="G137" s="6" t="s">
        <v>88</v>
      </c>
      <c r="H137" s="6" t="s">
        <v>7</v>
      </c>
      <c r="I137" s="6" t="s">
        <v>265</v>
      </c>
      <c r="J137" s="6">
        <v>0</v>
      </c>
      <c r="K137" s="6" t="s">
        <v>435</v>
      </c>
      <c r="L137" s="14">
        <v>45593</v>
      </c>
      <c r="M137" s="6"/>
      <c r="N137" s="6" t="s">
        <v>144</v>
      </c>
      <c r="O137" s="33">
        <v>45567</v>
      </c>
      <c r="P137" s="14">
        <v>45593</v>
      </c>
      <c r="Q137" s="12">
        <f>VLOOKUP(N137,RefData!$H$2:$I$15,2,)/100</f>
        <v>1</v>
      </c>
      <c r="R137" s="99"/>
      <c r="S137" s="1"/>
    </row>
    <row r="138" spans="1:19" ht="15.6" x14ac:dyDescent="0.3">
      <c r="A138" s="17" t="s">
        <v>79</v>
      </c>
      <c r="B138" s="28">
        <v>0</v>
      </c>
      <c r="C138" s="6" t="s">
        <v>272</v>
      </c>
      <c r="D138" s="23" t="s">
        <v>263</v>
      </c>
      <c r="E138" s="6" t="s">
        <v>16</v>
      </c>
      <c r="F138" s="6" t="s">
        <v>90</v>
      </c>
      <c r="G138" s="6" t="s">
        <v>88</v>
      </c>
      <c r="H138" s="6" t="s">
        <v>7</v>
      </c>
      <c r="I138" s="6" t="s">
        <v>265</v>
      </c>
      <c r="J138" s="6">
        <v>0</v>
      </c>
      <c r="K138" s="6" t="s">
        <v>435</v>
      </c>
      <c r="L138" s="14">
        <v>45593</v>
      </c>
      <c r="M138" s="6"/>
      <c r="N138" s="6" t="s">
        <v>144</v>
      </c>
      <c r="O138" s="33">
        <v>45567</v>
      </c>
      <c r="P138" s="14">
        <v>45593</v>
      </c>
      <c r="Q138" s="12">
        <f>VLOOKUP(N138,RefData!$H$2:$I$15,2,)/100</f>
        <v>1</v>
      </c>
      <c r="R138" s="99"/>
      <c r="S138" s="1"/>
    </row>
    <row r="139" spans="1:19" ht="28.8" x14ac:dyDescent="0.3">
      <c r="A139" s="17" t="s">
        <v>79</v>
      </c>
      <c r="B139" s="28">
        <v>0</v>
      </c>
      <c r="C139" s="6" t="s">
        <v>273</v>
      </c>
      <c r="D139" s="23" t="s">
        <v>264</v>
      </c>
      <c r="E139" s="6" t="s">
        <v>16</v>
      </c>
      <c r="F139" s="6" t="s">
        <v>90</v>
      </c>
      <c r="G139" s="6" t="s">
        <v>88</v>
      </c>
      <c r="H139" s="6" t="s">
        <v>7</v>
      </c>
      <c r="I139" s="6" t="s">
        <v>265</v>
      </c>
      <c r="J139" s="6">
        <v>0</v>
      </c>
      <c r="K139" s="6" t="s">
        <v>435</v>
      </c>
      <c r="L139" s="14">
        <v>45593</v>
      </c>
      <c r="M139" s="6"/>
      <c r="N139" s="6" t="s">
        <v>144</v>
      </c>
      <c r="O139" s="33">
        <v>45567</v>
      </c>
      <c r="P139" s="14">
        <v>45593</v>
      </c>
      <c r="Q139" s="12">
        <f>VLOOKUP(N139,RefData!$H$2:$I$15,2,)/100</f>
        <v>1</v>
      </c>
      <c r="R139" s="99" t="s">
        <v>642</v>
      </c>
      <c r="S139" s="1"/>
    </row>
    <row r="140" spans="1:19" ht="28.8" x14ac:dyDescent="0.3">
      <c r="A140" s="17" t="s">
        <v>79</v>
      </c>
      <c r="B140" s="28">
        <v>0</v>
      </c>
      <c r="C140" s="6" t="s">
        <v>276</v>
      </c>
      <c r="D140" s="23" t="s">
        <v>274</v>
      </c>
      <c r="E140" s="6" t="s">
        <v>16</v>
      </c>
      <c r="F140" s="6" t="s">
        <v>90</v>
      </c>
      <c r="G140" s="6" t="s">
        <v>88</v>
      </c>
      <c r="H140" s="6" t="s">
        <v>8</v>
      </c>
      <c r="I140" s="6" t="s">
        <v>265</v>
      </c>
      <c r="J140" s="6">
        <v>0</v>
      </c>
      <c r="K140" s="6"/>
      <c r="L140" s="14">
        <v>45593</v>
      </c>
      <c r="M140" s="6"/>
      <c r="N140" s="6" t="s">
        <v>144</v>
      </c>
      <c r="O140" s="37">
        <v>45558</v>
      </c>
      <c r="P140" s="14">
        <v>45593</v>
      </c>
      <c r="Q140" s="12">
        <f>VLOOKUP(N140,RefData!$H$2:$I$15,2,)/100</f>
        <v>1</v>
      </c>
      <c r="R140" s="99"/>
      <c r="S140" s="1"/>
    </row>
    <row r="141" spans="1:19" ht="15.6" x14ac:dyDescent="0.3">
      <c r="A141" s="17" t="s">
        <v>180</v>
      </c>
      <c r="B141" s="28">
        <v>0</v>
      </c>
      <c r="C141" s="6" t="s">
        <v>277</v>
      </c>
      <c r="D141" s="23" t="s">
        <v>275</v>
      </c>
      <c r="E141" s="6" t="s">
        <v>16</v>
      </c>
      <c r="F141" s="6" t="s">
        <v>90</v>
      </c>
      <c r="G141" s="6" t="s">
        <v>88</v>
      </c>
      <c r="H141" s="6" t="s">
        <v>8</v>
      </c>
      <c r="I141" s="6" t="s">
        <v>265</v>
      </c>
      <c r="J141" s="6">
        <v>0</v>
      </c>
      <c r="K141" s="6"/>
      <c r="L141" s="14">
        <v>45593</v>
      </c>
      <c r="M141" s="6"/>
      <c r="N141" s="6" t="s">
        <v>144</v>
      </c>
      <c r="O141" s="37">
        <v>45558</v>
      </c>
      <c r="P141" s="14">
        <v>45593</v>
      </c>
      <c r="Q141" s="12">
        <f>VLOOKUP(N141,RefData!$H$2:$I$15,2,)/100</f>
        <v>1</v>
      </c>
      <c r="R141" s="99" t="s">
        <v>289</v>
      </c>
      <c r="S141" s="1"/>
    </row>
    <row r="142" spans="1:19" ht="15.6" x14ac:dyDescent="0.3">
      <c r="A142" s="17" t="s">
        <v>180</v>
      </c>
      <c r="B142" s="28">
        <v>0</v>
      </c>
      <c r="C142" s="6" t="s">
        <v>281</v>
      </c>
      <c r="D142" s="23" t="s">
        <v>278</v>
      </c>
      <c r="E142" s="6" t="s">
        <v>16</v>
      </c>
      <c r="F142" s="6" t="s">
        <v>90</v>
      </c>
      <c r="G142" s="6" t="s">
        <v>88</v>
      </c>
      <c r="H142" s="6" t="s">
        <v>84</v>
      </c>
      <c r="I142" s="6" t="s">
        <v>265</v>
      </c>
      <c r="J142" s="6">
        <v>0</v>
      </c>
      <c r="K142" s="6"/>
      <c r="L142" s="14">
        <v>45593</v>
      </c>
      <c r="M142" s="6"/>
      <c r="N142" s="6" t="s">
        <v>144</v>
      </c>
      <c r="O142" s="33">
        <v>45558</v>
      </c>
      <c r="P142" s="14">
        <v>45593</v>
      </c>
      <c r="Q142" s="12">
        <f>VLOOKUP(N142,RefData!$H$2:$I$15,2,)/100</f>
        <v>1</v>
      </c>
      <c r="R142" s="99" t="s">
        <v>286</v>
      </c>
      <c r="S142" s="1"/>
    </row>
    <row r="143" spans="1:19" ht="15.6" x14ac:dyDescent="0.3">
      <c r="A143" s="17" t="s">
        <v>180</v>
      </c>
      <c r="B143" s="28">
        <v>0</v>
      </c>
      <c r="C143" s="6" t="s">
        <v>282</v>
      </c>
      <c r="D143" s="23" t="s">
        <v>279</v>
      </c>
      <c r="E143" s="6" t="s">
        <v>16</v>
      </c>
      <c r="F143" s="6" t="s">
        <v>90</v>
      </c>
      <c r="G143" s="6" t="s">
        <v>88</v>
      </c>
      <c r="H143" s="6" t="s">
        <v>84</v>
      </c>
      <c r="I143" s="6" t="s">
        <v>265</v>
      </c>
      <c r="J143" s="6">
        <v>0</v>
      </c>
      <c r="K143" s="6"/>
      <c r="L143" s="14">
        <v>45593</v>
      </c>
      <c r="M143" s="6"/>
      <c r="N143" s="6" t="s">
        <v>144</v>
      </c>
      <c r="O143" s="33">
        <v>45558</v>
      </c>
      <c r="P143" s="14">
        <v>45593</v>
      </c>
      <c r="Q143" s="12">
        <f>VLOOKUP(N143,RefData!$H$2:$I$15,2,)/100</f>
        <v>1</v>
      </c>
      <c r="R143" s="99" t="s">
        <v>286</v>
      </c>
      <c r="S143" s="1"/>
    </row>
    <row r="144" spans="1:19" ht="28.8" x14ac:dyDescent="0.3">
      <c r="A144" s="17" t="s">
        <v>180</v>
      </c>
      <c r="B144" s="28">
        <v>0</v>
      </c>
      <c r="C144" s="6" t="s">
        <v>283</v>
      </c>
      <c r="D144" s="23" t="s">
        <v>280</v>
      </c>
      <c r="E144" s="6" t="s">
        <v>16</v>
      </c>
      <c r="F144" s="6" t="s">
        <v>90</v>
      </c>
      <c r="G144" s="6" t="s">
        <v>88</v>
      </c>
      <c r="H144" s="6" t="s">
        <v>84</v>
      </c>
      <c r="I144" s="6" t="s">
        <v>265</v>
      </c>
      <c r="J144" s="6">
        <v>0</v>
      </c>
      <c r="K144" s="6"/>
      <c r="L144" s="14">
        <v>45593</v>
      </c>
      <c r="M144" s="6"/>
      <c r="N144" s="6" t="s">
        <v>144</v>
      </c>
      <c r="O144" s="33">
        <v>45558</v>
      </c>
      <c r="P144" s="14">
        <v>45593</v>
      </c>
      <c r="Q144" s="12">
        <f>VLOOKUP(N144,RefData!$H$2:$I$15,2,)/100</f>
        <v>1</v>
      </c>
      <c r="R144" s="99"/>
      <c r="S144" s="1"/>
    </row>
    <row r="145" spans="1:19" ht="15.6" x14ac:dyDescent="0.3">
      <c r="A145" s="17" t="s">
        <v>180</v>
      </c>
      <c r="B145" s="28">
        <v>0</v>
      </c>
      <c r="C145" s="6" t="s">
        <v>284</v>
      </c>
      <c r="D145" s="23" t="s">
        <v>319</v>
      </c>
      <c r="E145" s="6" t="s">
        <v>16</v>
      </c>
      <c r="F145" s="6" t="s">
        <v>90</v>
      </c>
      <c r="G145" s="6" t="s">
        <v>88</v>
      </c>
      <c r="H145" s="6" t="s">
        <v>84</v>
      </c>
      <c r="I145" s="6" t="s">
        <v>265</v>
      </c>
      <c r="J145" s="6">
        <v>0</v>
      </c>
      <c r="K145" s="6"/>
      <c r="L145" s="14">
        <v>45593</v>
      </c>
      <c r="M145" s="6"/>
      <c r="N145" s="6" t="s">
        <v>144</v>
      </c>
      <c r="O145" s="33">
        <v>45558</v>
      </c>
      <c r="P145" s="14">
        <v>45593</v>
      </c>
      <c r="Q145" s="12">
        <f>VLOOKUP(N145,RefData!$H$2:$I$15,2,)/100</f>
        <v>1</v>
      </c>
      <c r="R145" s="99"/>
      <c r="S145" s="1"/>
    </row>
    <row r="146" spans="1:19" ht="28.8" x14ac:dyDescent="0.3">
      <c r="A146" s="17" t="s">
        <v>79</v>
      </c>
      <c r="B146" s="28">
        <v>0</v>
      </c>
      <c r="C146" s="6" t="s">
        <v>285</v>
      </c>
      <c r="D146" s="23" t="s">
        <v>300</v>
      </c>
      <c r="E146" s="6" t="s">
        <v>16</v>
      </c>
      <c r="F146" s="6" t="s">
        <v>90</v>
      </c>
      <c r="G146" s="6" t="s">
        <v>88</v>
      </c>
      <c r="H146" s="6" t="s">
        <v>7</v>
      </c>
      <c r="I146" s="6" t="s">
        <v>265</v>
      </c>
      <c r="J146" s="6">
        <v>0</v>
      </c>
      <c r="K146" s="6" t="s">
        <v>435</v>
      </c>
      <c r="L146" s="14">
        <v>45593</v>
      </c>
      <c r="M146" s="6"/>
      <c r="N146" s="6" t="s">
        <v>144</v>
      </c>
      <c r="O146" s="33">
        <v>45567</v>
      </c>
      <c r="P146" s="14">
        <v>45593</v>
      </c>
      <c r="Q146" s="12">
        <f>VLOOKUP(N146,RefData!$H$2:$I$15,2,)/100</f>
        <v>1</v>
      </c>
      <c r="R146" s="99"/>
      <c r="S146" s="1"/>
    </row>
    <row r="147" spans="1:19" ht="28.8" x14ac:dyDescent="0.3">
      <c r="A147" s="17" t="s">
        <v>79</v>
      </c>
      <c r="B147" s="28">
        <v>0</v>
      </c>
      <c r="C147" s="6" t="s">
        <v>305</v>
      </c>
      <c r="D147" s="23" t="s">
        <v>301</v>
      </c>
      <c r="E147" s="6" t="s">
        <v>16</v>
      </c>
      <c r="F147" s="6" t="s">
        <v>90</v>
      </c>
      <c r="G147" s="6" t="s">
        <v>88</v>
      </c>
      <c r="H147" s="6" t="s">
        <v>7</v>
      </c>
      <c r="I147" s="6" t="s">
        <v>265</v>
      </c>
      <c r="J147" s="6">
        <v>0</v>
      </c>
      <c r="K147" s="6" t="s">
        <v>435</v>
      </c>
      <c r="L147" s="14">
        <v>45593</v>
      </c>
      <c r="M147" s="6"/>
      <c r="N147" s="6" t="s">
        <v>144</v>
      </c>
      <c r="O147" s="33">
        <v>45567</v>
      </c>
      <c r="P147" s="14">
        <v>45593</v>
      </c>
      <c r="Q147" s="12">
        <f>VLOOKUP(N147,RefData!$H$2:$I$15,2,)/100</f>
        <v>1</v>
      </c>
      <c r="R147" s="99"/>
      <c r="S147" s="1"/>
    </row>
    <row r="148" spans="1:19" ht="28.8" x14ac:dyDescent="0.3">
      <c r="A148" s="17" t="s">
        <v>79</v>
      </c>
      <c r="B148" s="28">
        <v>0</v>
      </c>
      <c r="C148" s="6" t="s">
        <v>306</v>
      </c>
      <c r="D148" s="23" t="s">
        <v>302</v>
      </c>
      <c r="E148" s="6" t="s">
        <v>16</v>
      </c>
      <c r="F148" s="6" t="s">
        <v>90</v>
      </c>
      <c r="G148" s="6" t="s">
        <v>88</v>
      </c>
      <c r="H148" s="6" t="s">
        <v>7</v>
      </c>
      <c r="I148" s="6" t="s">
        <v>265</v>
      </c>
      <c r="J148" s="6">
        <v>0</v>
      </c>
      <c r="K148" s="6" t="s">
        <v>435</v>
      </c>
      <c r="L148" s="14">
        <v>45593</v>
      </c>
      <c r="M148" s="6"/>
      <c r="N148" s="6" t="s">
        <v>144</v>
      </c>
      <c r="O148" s="33">
        <v>45567</v>
      </c>
      <c r="P148" s="14">
        <v>45593</v>
      </c>
      <c r="Q148" s="12">
        <f>VLOOKUP(N148,RefData!$H$2:$I$15,2,)/100</f>
        <v>1</v>
      </c>
      <c r="R148" s="99"/>
      <c r="S148" s="1"/>
    </row>
    <row r="149" spans="1:19" ht="28.8" x14ac:dyDescent="0.3">
      <c r="A149" s="17" t="s">
        <v>79</v>
      </c>
      <c r="B149" s="28">
        <v>0</v>
      </c>
      <c r="C149" s="6" t="s">
        <v>307</v>
      </c>
      <c r="D149" s="23" t="s">
        <v>303</v>
      </c>
      <c r="E149" s="6" t="s">
        <v>16</v>
      </c>
      <c r="F149" s="6" t="s">
        <v>90</v>
      </c>
      <c r="G149" s="6" t="s">
        <v>88</v>
      </c>
      <c r="H149" s="6" t="s">
        <v>7</v>
      </c>
      <c r="I149" s="6" t="s">
        <v>265</v>
      </c>
      <c r="J149" s="6">
        <v>0</v>
      </c>
      <c r="K149" s="6" t="s">
        <v>435</v>
      </c>
      <c r="L149" s="14">
        <v>45593</v>
      </c>
      <c r="M149" s="6"/>
      <c r="N149" s="6" t="s">
        <v>144</v>
      </c>
      <c r="O149" s="33">
        <v>45567</v>
      </c>
      <c r="P149" s="14">
        <v>45593</v>
      </c>
      <c r="Q149" s="12">
        <f>VLOOKUP(N149,RefData!$H$2:$I$15,2,)/100</f>
        <v>1</v>
      </c>
      <c r="R149" s="99"/>
      <c r="S149" s="1"/>
    </row>
    <row r="150" spans="1:19" ht="26.55" customHeight="1" x14ac:dyDescent="0.3">
      <c r="A150" s="17" t="s">
        <v>79</v>
      </c>
      <c r="B150" s="28">
        <v>0</v>
      </c>
      <c r="C150" s="6" t="s">
        <v>308</v>
      </c>
      <c r="D150" s="23" t="s">
        <v>304</v>
      </c>
      <c r="E150" s="6" t="s">
        <v>16</v>
      </c>
      <c r="F150" s="6" t="s">
        <v>90</v>
      </c>
      <c r="G150" s="6" t="s">
        <v>88</v>
      </c>
      <c r="H150" s="6" t="s">
        <v>7</v>
      </c>
      <c r="I150" s="6" t="s">
        <v>265</v>
      </c>
      <c r="J150" s="6">
        <v>0</v>
      </c>
      <c r="K150" s="6" t="s">
        <v>435</v>
      </c>
      <c r="L150" s="14">
        <v>45593</v>
      </c>
      <c r="M150" s="6"/>
      <c r="N150" s="6" t="s">
        <v>144</v>
      </c>
      <c r="O150" s="33">
        <v>45567</v>
      </c>
      <c r="P150" s="14">
        <v>45593</v>
      </c>
      <c r="Q150" s="12">
        <f>VLOOKUP(N150,RefData!$H$2:$I$15,2,)/100</f>
        <v>1</v>
      </c>
      <c r="R150" s="99"/>
      <c r="S150" s="1"/>
    </row>
    <row r="151" spans="1:19" ht="28.8" x14ac:dyDescent="0.3">
      <c r="A151" s="17" t="s">
        <v>79</v>
      </c>
      <c r="B151" s="28">
        <v>0</v>
      </c>
      <c r="C151" s="6" t="s">
        <v>309</v>
      </c>
      <c r="D151" s="23" t="s">
        <v>310</v>
      </c>
      <c r="E151" s="6" t="s">
        <v>16</v>
      </c>
      <c r="F151" s="6" t="s">
        <v>90</v>
      </c>
      <c r="G151" s="6" t="s">
        <v>88</v>
      </c>
      <c r="H151" s="6" t="s">
        <v>7</v>
      </c>
      <c r="I151" s="6" t="s">
        <v>265</v>
      </c>
      <c r="J151" s="6">
        <v>0</v>
      </c>
      <c r="K151" s="6" t="s">
        <v>435</v>
      </c>
      <c r="L151" s="14">
        <v>45593</v>
      </c>
      <c r="M151" s="6"/>
      <c r="N151" s="6" t="s">
        <v>144</v>
      </c>
      <c r="O151" s="33">
        <v>45567</v>
      </c>
      <c r="P151" s="14">
        <v>45593</v>
      </c>
      <c r="Q151" s="12">
        <f>VLOOKUP(N151,RefData!$H$2:$I$15,2,)/100</f>
        <v>1</v>
      </c>
      <c r="R151" s="99"/>
      <c r="S151" s="1"/>
    </row>
    <row r="152" spans="1:19" ht="28.8" x14ac:dyDescent="0.3">
      <c r="A152" s="17" t="s">
        <v>79</v>
      </c>
      <c r="B152" s="28">
        <v>0</v>
      </c>
      <c r="C152" s="6" t="s">
        <v>315</v>
      </c>
      <c r="D152" s="23" t="s">
        <v>311</v>
      </c>
      <c r="E152" s="6" t="s">
        <v>16</v>
      </c>
      <c r="F152" s="6" t="s">
        <v>90</v>
      </c>
      <c r="G152" s="6" t="s">
        <v>88</v>
      </c>
      <c r="H152" s="6" t="s">
        <v>7</v>
      </c>
      <c r="I152" s="6" t="s">
        <v>265</v>
      </c>
      <c r="J152" s="6">
        <v>0</v>
      </c>
      <c r="K152" s="6" t="s">
        <v>435</v>
      </c>
      <c r="L152" s="14">
        <v>45593</v>
      </c>
      <c r="M152" s="6"/>
      <c r="N152" s="6" t="s">
        <v>144</v>
      </c>
      <c r="O152" s="33">
        <v>45567</v>
      </c>
      <c r="P152" s="31">
        <v>45593</v>
      </c>
      <c r="Q152" s="12">
        <f>VLOOKUP(N152,RefData!$H$2:$I$15,2,)/100</f>
        <v>1</v>
      </c>
      <c r="R152" s="99"/>
      <c r="S152" s="1"/>
    </row>
    <row r="153" spans="1:19" ht="28.8" x14ac:dyDescent="0.3">
      <c r="A153" s="17" t="s">
        <v>79</v>
      </c>
      <c r="B153" s="28">
        <v>0</v>
      </c>
      <c r="C153" s="6" t="s">
        <v>316</v>
      </c>
      <c r="D153" s="23" t="s">
        <v>312</v>
      </c>
      <c r="E153" s="6" t="s">
        <v>16</v>
      </c>
      <c r="F153" s="6" t="s">
        <v>90</v>
      </c>
      <c r="G153" s="6" t="s">
        <v>88</v>
      </c>
      <c r="H153" s="6" t="s">
        <v>7</v>
      </c>
      <c r="I153" s="6" t="s">
        <v>265</v>
      </c>
      <c r="J153" s="6">
        <v>0</v>
      </c>
      <c r="K153" s="6" t="s">
        <v>435</v>
      </c>
      <c r="L153" s="14">
        <v>45593</v>
      </c>
      <c r="M153" s="6"/>
      <c r="N153" s="6" t="s">
        <v>144</v>
      </c>
      <c r="O153" s="33">
        <v>45567</v>
      </c>
      <c r="P153" s="31">
        <v>45593</v>
      </c>
      <c r="Q153" s="12">
        <f>VLOOKUP(N153,RefData!$H$2:$I$15,2,)/100</f>
        <v>1</v>
      </c>
      <c r="R153" s="99"/>
      <c r="S153" s="1"/>
    </row>
    <row r="154" spans="1:19" ht="28.8" x14ac:dyDescent="0.3">
      <c r="A154" s="17" t="s">
        <v>79</v>
      </c>
      <c r="B154" s="28">
        <v>0</v>
      </c>
      <c r="C154" s="6" t="s">
        <v>317</v>
      </c>
      <c r="D154" s="23" t="s">
        <v>313</v>
      </c>
      <c r="E154" s="6" t="s">
        <v>16</v>
      </c>
      <c r="F154" s="6" t="s">
        <v>90</v>
      </c>
      <c r="G154" s="6" t="s">
        <v>88</v>
      </c>
      <c r="H154" s="6" t="s">
        <v>7</v>
      </c>
      <c r="I154" s="6" t="s">
        <v>265</v>
      </c>
      <c r="J154" s="6">
        <v>0</v>
      </c>
      <c r="K154" s="6" t="s">
        <v>435</v>
      </c>
      <c r="L154" s="14">
        <v>45593</v>
      </c>
      <c r="M154" s="6"/>
      <c r="N154" s="6" t="s">
        <v>144</v>
      </c>
      <c r="O154" s="33">
        <v>45567</v>
      </c>
      <c r="P154" s="14">
        <v>45593</v>
      </c>
      <c r="Q154" s="12">
        <f>VLOOKUP(N154,RefData!$H$2:$I$15,2,)/100</f>
        <v>1</v>
      </c>
      <c r="R154" s="99"/>
      <c r="S154" s="1"/>
    </row>
    <row r="155" spans="1:19" ht="28.8" x14ac:dyDescent="0.3">
      <c r="A155" s="17" t="s">
        <v>79</v>
      </c>
      <c r="B155" s="28">
        <v>1</v>
      </c>
      <c r="C155" s="6" t="s">
        <v>760</v>
      </c>
      <c r="D155" s="23" t="s">
        <v>739</v>
      </c>
      <c r="E155" s="6" t="s">
        <v>31</v>
      </c>
      <c r="F155" s="6" t="s">
        <v>90</v>
      </c>
      <c r="G155" s="6" t="s">
        <v>87</v>
      </c>
      <c r="H155" s="6" t="s">
        <v>6</v>
      </c>
      <c r="I155" s="6" t="s">
        <v>6</v>
      </c>
      <c r="J155" s="6">
        <v>1</v>
      </c>
      <c r="K155" s="6" t="s">
        <v>436</v>
      </c>
      <c r="L155" s="14"/>
      <c r="M155" s="6"/>
      <c r="N155" s="6" t="s">
        <v>185</v>
      </c>
      <c r="O155" s="33">
        <v>45874</v>
      </c>
      <c r="P155" s="31"/>
      <c r="Q155" s="12">
        <f>VLOOKUP(N155,RefData!$H$2:$I$15,2,)/100</f>
        <v>0.3</v>
      </c>
      <c r="R155" s="99" t="s">
        <v>754</v>
      </c>
      <c r="S155" s="1"/>
    </row>
    <row r="156" spans="1:19" ht="25.35" customHeight="1" x14ac:dyDescent="0.3">
      <c r="A156" s="17" t="s">
        <v>180</v>
      </c>
      <c r="B156" s="28">
        <v>29777</v>
      </c>
      <c r="C156" s="6" t="s">
        <v>761</v>
      </c>
      <c r="D156" s="23" t="s">
        <v>232</v>
      </c>
      <c r="E156" s="6" t="s">
        <v>233</v>
      </c>
      <c r="F156" s="6" t="s">
        <v>90</v>
      </c>
      <c r="G156" s="6" t="s">
        <v>88</v>
      </c>
      <c r="H156" s="6" t="s">
        <v>7</v>
      </c>
      <c r="I156" s="6" t="s">
        <v>234</v>
      </c>
      <c r="J156" s="6">
        <v>4</v>
      </c>
      <c r="K156" s="6" t="s">
        <v>435</v>
      </c>
      <c r="L156" s="14"/>
      <c r="M156" s="6"/>
      <c r="N156" s="6" t="s">
        <v>181</v>
      </c>
      <c r="O156" s="33">
        <v>45271</v>
      </c>
      <c r="P156" s="31" t="s">
        <v>74</v>
      </c>
      <c r="Q156" s="12">
        <f>VLOOKUP(N156,RefData!$H$2:$I$15,2,)/100</f>
        <v>0.9</v>
      </c>
      <c r="R156" s="99" t="s">
        <v>775</v>
      </c>
      <c r="S156" s="1"/>
    </row>
    <row r="157" spans="1:19" ht="15.6" x14ac:dyDescent="0.3">
      <c r="A157" s="17" t="s">
        <v>180</v>
      </c>
      <c r="B157" s="28">
        <v>1</v>
      </c>
      <c r="C157" s="6" t="s">
        <v>243</v>
      </c>
      <c r="D157" s="23" t="s">
        <v>330</v>
      </c>
      <c r="E157" s="6" t="s">
        <v>242</v>
      </c>
      <c r="F157" s="6" t="s">
        <v>90</v>
      </c>
      <c r="G157" s="6" t="s">
        <v>86</v>
      </c>
      <c r="H157" s="6" t="s">
        <v>84</v>
      </c>
      <c r="I157" s="6" t="s">
        <v>29</v>
      </c>
      <c r="J157" s="6">
        <v>1</v>
      </c>
      <c r="K157" s="6" t="s">
        <v>437</v>
      </c>
      <c r="L157" s="14"/>
      <c r="M157" s="6"/>
      <c r="N157" s="6" t="s">
        <v>144</v>
      </c>
      <c r="O157" s="33"/>
      <c r="P157" s="33">
        <v>45672</v>
      </c>
      <c r="Q157" s="12">
        <f>VLOOKUP(N157,RefData!$H$2:$I$15,2,)/100</f>
        <v>1</v>
      </c>
      <c r="R157" s="99"/>
      <c r="S157" s="1"/>
    </row>
    <row r="158" spans="1:19" ht="15.6" x14ac:dyDescent="0.3">
      <c r="A158" s="17" t="s">
        <v>180</v>
      </c>
      <c r="B158" s="28"/>
      <c r="C158" s="28" t="s">
        <v>690</v>
      </c>
      <c r="D158" s="23" t="s">
        <v>691</v>
      </c>
      <c r="E158" s="6" t="s">
        <v>159</v>
      </c>
      <c r="F158" s="6" t="s">
        <v>90</v>
      </c>
      <c r="G158" s="6" t="s">
        <v>86</v>
      </c>
      <c r="H158" s="6" t="s">
        <v>84</v>
      </c>
      <c r="I158" s="6" t="s">
        <v>46</v>
      </c>
      <c r="J158" s="6">
        <v>1</v>
      </c>
      <c r="K158" s="6"/>
      <c r="L158" s="14"/>
      <c r="M158" s="6"/>
      <c r="N158" s="6" t="s">
        <v>144</v>
      </c>
      <c r="O158" s="33">
        <v>45881</v>
      </c>
      <c r="P158" s="31">
        <v>45905</v>
      </c>
      <c r="Q158" s="12">
        <f>VLOOKUP(N158,RefData!$H$2:$I$15,2,)/100</f>
        <v>1</v>
      </c>
      <c r="R158" s="99"/>
      <c r="S158" s="1"/>
    </row>
    <row r="159" spans="1:19" s="105" customFormat="1" ht="15.6" x14ac:dyDescent="0.3">
      <c r="A159" s="17" t="s">
        <v>180</v>
      </c>
      <c r="B159" s="28" t="s">
        <v>722</v>
      </c>
      <c r="C159" s="28" t="s">
        <v>690</v>
      </c>
      <c r="D159" s="23" t="s">
        <v>692</v>
      </c>
      <c r="E159" s="6" t="s">
        <v>157</v>
      </c>
      <c r="F159" s="6" t="s">
        <v>90</v>
      </c>
      <c r="G159" s="6" t="s">
        <v>88</v>
      </c>
      <c r="H159" s="6" t="s">
        <v>84</v>
      </c>
      <c r="I159" s="6" t="s">
        <v>693</v>
      </c>
      <c r="J159" s="6">
        <v>1</v>
      </c>
      <c r="K159" s="6"/>
      <c r="L159" s="14"/>
      <c r="M159" s="6"/>
      <c r="N159" s="6" t="s">
        <v>144</v>
      </c>
      <c r="O159" s="33">
        <v>45897</v>
      </c>
      <c r="P159" s="31">
        <v>45943</v>
      </c>
      <c r="Q159" s="12">
        <f>VLOOKUP(N159,RefData!$H$2:$I$15,2,)/100</f>
        <v>1</v>
      </c>
      <c r="R159" s="99" t="s">
        <v>721</v>
      </c>
      <c r="S159" s="1"/>
    </row>
    <row r="160" spans="1:19" ht="15.6" x14ac:dyDescent="0.3">
      <c r="A160" s="17" t="s">
        <v>180</v>
      </c>
      <c r="B160" s="28">
        <v>1</v>
      </c>
      <c r="C160" s="6" t="s">
        <v>244</v>
      </c>
      <c r="D160" s="23" t="s">
        <v>356</v>
      </c>
      <c r="E160" s="6"/>
      <c r="F160" s="6" t="s">
        <v>90</v>
      </c>
      <c r="G160" s="6" t="s">
        <v>86</v>
      </c>
      <c r="H160" s="6" t="s">
        <v>84</v>
      </c>
      <c r="I160" s="6" t="s">
        <v>29</v>
      </c>
      <c r="J160" s="6">
        <v>1</v>
      </c>
      <c r="K160" s="6" t="s">
        <v>435</v>
      </c>
      <c r="L160" s="14"/>
      <c r="M160" s="6"/>
      <c r="N160" s="6" t="s">
        <v>144</v>
      </c>
      <c r="O160" s="33">
        <v>45319</v>
      </c>
      <c r="P160" s="31">
        <v>45691</v>
      </c>
      <c r="Q160" s="27">
        <f>VLOOKUP(N160,RefData!$H$2:$I$15,2,)/100</f>
        <v>1</v>
      </c>
      <c r="R160" s="99"/>
      <c r="S160" s="1"/>
    </row>
    <row r="161" spans="1:19" ht="15.6" x14ac:dyDescent="0.3">
      <c r="A161" s="17" t="s">
        <v>180</v>
      </c>
      <c r="B161" s="28">
        <v>26884</v>
      </c>
      <c r="C161" s="6" t="s">
        <v>246</v>
      </c>
      <c r="D161" s="23" t="s">
        <v>329</v>
      </c>
      <c r="E161" s="6" t="s">
        <v>247</v>
      </c>
      <c r="F161" s="6" t="s">
        <v>90</v>
      </c>
      <c r="G161" s="6" t="s">
        <v>86</v>
      </c>
      <c r="H161" s="6" t="s">
        <v>84</v>
      </c>
      <c r="I161" s="6" t="s">
        <v>29</v>
      </c>
      <c r="J161" s="6">
        <v>1</v>
      </c>
      <c r="K161" s="6" t="s">
        <v>437</v>
      </c>
      <c r="L161" s="14"/>
      <c r="N161" s="6" t="s">
        <v>144</v>
      </c>
      <c r="O161" s="33"/>
      <c r="P161" s="31">
        <v>45659</v>
      </c>
      <c r="Q161" s="12">
        <f>VLOOKUP(N161,RefData!$H$2:$I$15,2,)/100</f>
        <v>1</v>
      </c>
      <c r="R161" s="99"/>
      <c r="S161" s="1"/>
    </row>
    <row r="162" spans="1:19" ht="28.8" x14ac:dyDescent="0.3">
      <c r="A162" s="17" t="s">
        <v>180</v>
      </c>
      <c r="B162" s="28">
        <v>28859</v>
      </c>
      <c r="C162" s="6" t="s">
        <v>328</v>
      </c>
      <c r="D162" s="23" t="s">
        <v>331</v>
      </c>
      <c r="E162" s="6" t="s">
        <v>242</v>
      </c>
      <c r="F162" s="6" t="s">
        <v>90</v>
      </c>
      <c r="G162" s="6" t="s">
        <v>86</v>
      </c>
      <c r="H162" s="6" t="s">
        <v>84</v>
      </c>
      <c r="I162" s="6" t="s">
        <v>29</v>
      </c>
      <c r="J162" s="6">
        <v>0</v>
      </c>
      <c r="K162" s="6" t="s">
        <v>437</v>
      </c>
      <c r="L162" s="6"/>
      <c r="N162" s="6" t="s">
        <v>144</v>
      </c>
      <c r="O162" s="33">
        <v>45611</v>
      </c>
      <c r="P162" s="31">
        <v>45708</v>
      </c>
      <c r="Q162" s="12">
        <f>VLOOKUP(N162,RefData!$H$2:$I$15,2,)/100</f>
        <v>1</v>
      </c>
      <c r="R162" s="99" t="s">
        <v>362</v>
      </c>
      <c r="S162" s="1" t="s">
        <v>344</v>
      </c>
    </row>
    <row r="163" spans="1:19" ht="28.8" x14ac:dyDescent="0.3">
      <c r="A163" s="17" t="s">
        <v>180</v>
      </c>
      <c r="B163" s="28">
        <v>28859</v>
      </c>
      <c r="C163" s="6" t="s">
        <v>332</v>
      </c>
      <c r="D163" s="23" t="s">
        <v>636</v>
      </c>
      <c r="E163" s="6" t="s">
        <v>242</v>
      </c>
      <c r="F163" s="6" t="s">
        <v>90</v>
      </c>
      <c r="G163" s="6" t="s">
        <v>86</v>
      </c>
      <c r="H163" s="6" t="s">
        <v>84</v>
      </c>
      <c r="I163" s="6" t="s">
        <v>29</v>
      </c>
      <c r="J163" s="6">
        <v>0</v>
      </c>
      <c r="K163" s="6" t="s">
        <v>437</v>
      </c>
      <c r="L163" s="6"/>
      <c r="N163" s="6" t="s">
        <v>144</v>
      </c>
      <c r="O163" s="33">
        <v>45614</v>
      </c>
      <c r="P163" s="31">
        <v>45708</v>
      </c>
      <c r="Q163" s="12">
        <f>VLOOKUP(N163,RefData!$H$2:$I$15,2,)/100</f>
        <v>1</v>
      </c>
      <c r="R163" s="99" t="s">
        <v>362</v>
      </c>
      <c r="S163" s="1" t="s">
        <v>344</v>
      </c>
    </row>
    <row r="164" spans="1:19" ht="15.6" x14ac:dyDescent="0.3">
      <c r="A164" s="17" t="s">
        <v>180</v>
      </c>
      <c r="B164" s="28">
        <v>30636</v>
      </c>
      <c r="C164" s="6" t="s">
        <v>363</v>
      </c>
      <c r="D164" s="23" t="s">
        <v>364</v>
      </c>
      <c r="E164" s="6" t="s">
        <v>31</v>
      </c>
      <c r="F164" s="6" t="s">
        <v>90</v>
      </c>
      <c r="G164" s="6" t="s">
        <v>88</v>
      </c>
      <c r="H164" s="6" t="s">
        <v>84</v>
      </c>
      <c r="I164" s="6" t="s">
        <v>29</v>
      </c>
      <c r="J164" s="6">
        <v>1</v>
      </c>
      <c r="K164" s="6" t="s">
        <v>435</v>
      </c>
      <c r="L164" s="14"/>
      <c r="N164" s="6" t="s">
        <v>144</v>
      </c>
      <c r="O164" s="33">
        <v>45677</v>
      </c>
      <c r="P164" s="31"/>
      <c r="Q164" s="12">
        <f>VLOOKUP(N164,RefData!$H$2:$I$15,2,)/100</f>
        <v>1</v>
      </c>
      <c r="R164" s="99"/>
      <c r="S164" s="1"/>
    </row>
    <row r="165" spans="1:19" s="106" customFormat="1" ht="15.6" x14ac:dyDescent="0.3">
      <c r="A165" s="17" t="s">
        <v>180</v>
      </c>
      <c r="B165" s="28"/>
      <c r="C165" s="6" t="s">
        <v>365</v>
      </c>
      <c r="D165" s="23" t="s">
        <v>376</v>
      </c>
      <c r="E165" s="6" t="s">
        <v>159</v>
      </c>
      <c r="F165" s="6" t="s">
        <v>90</v>
      </c>
      <c r="G165" s="6" t="s">
        <v>88</v>
      </c>
      <c r="H165" s="6" t="s">
        <v>84</v>
      </c>
      <c r="I165" s="6" t="s">
        <v>29</v>
      </c>
      <c r="J165" s="6">
        <v>0</v>
      </c>
      <c r="K165" s="6" t="s">
        <v>435</v>
      </c>
      <c r="L165" s="14"/>
      <c r="M165" s="7"/>
      <c r="N165" s="6" t="s">
        <v>144</v>
      </c>
      <c r="O165" s="33"/>
      <c r="P165" s="31">
        <v>45740</v>
      </c>
      <c r="Q165" s="12">
        <f>VLOOKUP(N165,RefData!$H$2:$I$15,2,)/100</f>
        <v>1</v>
      </c>
      <c r="R165" s="99"/>
      <c r="S165" s="1"/>
    </row>
    <row r="166" spans="1:19" ht="15.6" x14ac:dyDescent="0.3">
      <c r="A166" s="49" t="s">
        <v>180</v>
      </c>
      <c r="B166" s="50"/>
      <c r="C166" s="51" t="s">
        <v>366</v>
      </c>
      <c r="D166" s="23" t="s">
        <v>367</v>
      </c>
      <c r="E166" s="51" t="s">
        <v>159</v>
      </c>
      <c r="F166" s="51" t="s">
        <v>90</v>
      </c>
      <c r="G166" s="51" t="s">
        <v>88</v>
      </c>
      <c r="H166" s="51" t="s">
        <v>84</v>
      </c>
      <c r="I166" s="51" t="s">
        <v>29</v>
      </c>
      <c r="J166" s="51">
        <v>0</v>
      </c>
      <c r="K166" s="6" t="s">
        <v>435</v>
      </c>
      <c r="L166" s="52"/>
      <c r="N166" s="6" t="s">
        <v>144</v>
      </c>
      <c r="O166" s="69"/>
      <c r="P166" s="53">
        <v>45736</v>
      </c>
      <c r="Q166" s="54">
        <f>VLOOKUP(N166,RefData!$H$2:$I$15,2,)/100</f>
        <v>1</v>
      </c>
      <c r="R166" s="120"/>
      <c r="S166" s="55"/>
    </row>
    <row r="167" spans="1:19" ht="15.6" x14ac:dyDescent="0.3">
      <c r="A167" s="17" t="s">
        <v>180</v>
      </c>
      <c r="B167" s="28">
        <v>1</v>
      </c>
      <c r="C167" s="28" t="s">
        <v>689</v>
      </c>
      <c r="D167" s="23" t="s">
        <v>345</v>
      </c>
      <c r="E167" s="6" t="s">
        <v>346</v>
      </c>
      <c r="F167" s="6" t="s">
        <v>90</v>
      </c>
      <c r="G167" s="6" t="s">
        <v>88</v>
      </c>
      <c r="H167" s="6" t="s">
        <v>84</v>
      </c>
      <c r="I167" s="6" t="s">
        <v>347</v>
      </c>
      <c r="J167" s="6"/>
      <c r="K167" s="6"/>
      <c r="L167" s="14"/>
      <c r="N167" s="6" t="s">
        <v>98</v>
      </c>
      <c r="O167" s="33"/>
      <c r="P167" s="31"/>
      <c r="Q167" s="12">
        <f>VLOOKUP(N167,RefData!$H$2:$I$15,2,)/100</f>
        <v>0.9</v>
      </c>
      <c r="R167" s="99" t="s">
        <v>377</v>
      </c>
      <c r="S167" s="1"/>
    </row>
    <row r="168" spans="1:19" ht="74.55" customHeight="1" x14ac:dyDescent="0.3">
      <c r="A168" s="17" t="s">
        <v>180</v>
      </c>
      <c r="B168" s="74"/>
      <c r="C168" s="6" t="s">
        <v>779</v>
      </c>
      <c r="D168" s="23" t="s">
        <v>723</v>
      </c>
      <c r="E168" s="6" t="s">
        <v>724</v>
      </c>
      <c r="F168" s="6" t="s">
        <v>90</v>
      </c>
      <c r="G168" s="6" t="s">
        <v>88</v>
      </c>
      <c r="H168" s="6" t="s">
        <v>380</v>
      </c>
      <c r="I168" s="6" t="s">
        <v>725</v>
      </c>
      <c r="J168" s="6">
        <v>0</v>
      </c>
      <c r="K168" s="6" t="s">
        <v>435</v>
      </c>
      <c r="L168" s="14"/>
      <c r="N168" s="6" t="s">
        <v>144</v>
      </c>
      <c r="O168" s="33">
        <v>45950</v>
      </c>
      <c r="P168" s="31"/>
      <c r="Q168" s="12">
        <f>VLOOKUP(N168,RefData!$H$2:$I$15,2,)/100</f>
        <v>1</v>
      </c>
      <c r="R168" s="117"/>
      <c r="S168" s="1" t="s">
        <v>886</v>
      </c>
    </row>
    <row r="169" spans="1:19" ht="22.2" customHeight="1" x14ac:dyDescent="0.3">
      <c r="A169" s="17" t="s">
        <v>79</v>
      </c>
      <c r="B169" s="85" t="s">
        <v>640</v>
      </c>
      <c r="C169" s="6"/>
      <c r="D169" s="23" t="s">
        <v>796</v>
      </c>
      <c r="E169" s="6" t="s">
        <v>13</v>
      </c>
      <c r="F169" s="6" t="s">
        <v>90</v>
      </c>
      <c r="G169" s="6" t="s">
        <v>88</v>
      </c>
      <c r="H169" s="6" t="s">
        <v>797</v>
      </c>
      <c r="I169" s="6" t="s">
        <v>767</v>
      </c>
      <c r="J169" s="6">
        <v>0</v>
      </c>
      <c r="K169" s="6" t="s">
        <v>435</v>
      </c>
      <c r="L169" s="14" t="s">
        <v>831</v>
      </c>
      <c r="M169" s="108"/>
      <c r="N169" s="6" t="s">
        <v>144</v>
      </c>
      <c r="O169" s="33" t="s">
        <v>832</v>
      </c>
      <c r="P169" s="27"/>
      <c r="Q169" s="27">
        <f>VLOOKUP(N169,RefData!$H$2:$I$15,2,)/100</f>
        <v>1</v>
      </c>
      <c r="R169" s="98" t="s">
        <v>882</v>
      </c>
      <c r="S169" s="89"/>
    </row>
    <row r="170" spans="1:19" ht="345.6" x14ac:dyDescent="0.3">
      <c r="A170" s="71" t="s">
        <v>79</v>
      </c>
      <c r="B170" s="72" t="s">
        <v>766</v>
      </c>
      <c r="C170" s="73"/>
      <c r="D170" s="23" t="s">
        <v>849</v>
      </c>
      <c r="E170" s="6" t="s">
        <v>233</v>
      </c>
      <c r="F170" s="6" t="s">
        <v>90</v>
      </c>
      <c r="G170" s="6" t="s">
        <v>186</v>
      </c>
      <c r="H170" s="6" t="s">
        <v>794</v>
      </c>
      <c r="I170" s="6" t="s">
        <v>169</v>
      </c>
      <c r="J170" s="6">
        <v>0</v>
      </c>
      <c r="K170" s="6" t="s">
        <v>435</v>
      </c>
      <c r="L170" s="14">
        <v>46136</v>
      </c>
      <c r="M170" s="37"/>
      <c r="N170" s="33" t="s">
        <v>144</v>
      </c>
      <c r="O170" s="33">
        <v>46132</v>
      </c>
      <c r="P170" s="33">
        <v>46135</v>
      </c>
      <c r="Q170" s="12">
        <f>VLOOKUP(N170,RefData!$H$2:$I$15,2,)/100</f>
        <v>1</v>
      </c>
      <c r="R170" s="121" t="s">
        <v>850</v>
      </c>
      <c r="S170" s="71"/>
    </row>
    <row r="171" spans="1:19" ht="28.8" x14ac:dyDescent="0.3">
      <c r="A171" s="17" t="s">
        <v>79</v>
      </c>
      <c r="B171" s="28"/>
      <c r="C171" s="28"/>
      <c r="D171" s="23" t="s">
        <v>873</v>
      </c>
      <c r="E171" s="6" t="s">
        <v>647</v>
      </c>
      <c r="F171" s="6" t="s">
        <v>90</v>
      </c>
      <c r="G171" s="6" t="s">
        <v>88</v>
      </c>
      <c r="H171" s="6" t="s">
        <v>84</v>
      </c>
      <c r="I171" s="6"/>
      <c r="J171" s="6">
        <v>1</v>
      </c>
      <c r="K171" s="6"/>
      <c r="L171" s="14"/>
      <c r="N171" s="6" t="s">
        <v>185</v>
      </c>
      <c r="O171" s="33">
        <v>46202</v>
      </c>
      <c r="P171" s="31"/>
      <c r="Q171" s="27">
        <f>VLOOKUP(N171,RefData!$H$2:$I$15,2,)/100</f>
        <v>0.3</v>
      </c>
      <c r="R171" s="41" t="s">
        <v>880</v>
      </c>
      <c r="S171" s="38" t="s">
        <v>879</v>
      </c>
    </row>
    <row r="172" spans="1:19" ht="15.6" x14ac:dyDescent="0.3">
      <c r="A172" s="71" t="s">
        <v>79</v>
      </c>
      <c r="B172" s="72" t="s">
        <v>711</v>
      </c>
      <c r="C172" s="73"/>
      <c r="D172" s="23" t="s">
        <v>712</v>
      </c>
      <c r="E172" s="6" t="s">
        <v>233</v>
      </c>
      <c r="F172" s="6" t="s">
        <v>90</v>
      </c>
      <c r="G172" s="6" t="s">
        <v>186</v>
      </c>
      <c r="H172" s="6" t="s">
        <v>7</v>
      </c>
      <c r="I172" s="6" t="s">
        <v>713</v>
      </c>
      <c r="J172" s="6"/>
      <c r="K172" s="6" t="s">
        <v>436</v>
      </c>
      <c r="L172" s="14"/>
      <c r="N172" s="6" t="s">
        <v>187</v>
      </c>
      <c r="O172" s="12"/>
      <c r="P172" s="12"/>
      <c r="Q172" s="12">
        <f>VLOOKUP(N172,RefData!$H$2:$I$15,2,)/100</f>
        <v>0</v>
      </c>
      <c r="R172" s="117" t="s">
        <v>774</v>
      </c>
      <c r="S172" s="1"/>
    </row>
    <row r="173" spans="1:19" ht="25.35" customHeight="1" x14ac:dyDescent="0.3">
      <c r="A173" s="71" t="s">
        <v>79</v>
      </c>
      <c r="B173" s="72" t="s">
        <v>715</v>
      </c>
      <c r="C173" s="73"/>
      <c r="D173" s="23" t="s">
        <v>716</v>
      </c>
      <c r="E173" s="6" t="s">
        <v>233</v>
      </c>
      <c r="F173" s="6" t="s">
        <v>90</v>
      </c>
      <c r="G173" s="6" t="s">
        <v>186</v>
      </c>
      <c r="H173" s="6" t="s">
        <v>7</v>
      </c>
      <c r="I173" s="6" t="s">
        <v>717</v>
      </c>
      <c r="J173" s="6"/>
      <c r="K173" s="6" t="s">
        <v>436</v>
      </c>
      <c r="L173" s="14"/>
      <c r="N173" s="6" t="s">
        <v>187</v>
      </c>
      <c r="O173" s="1"/>
      <c r="P173" s="12"/>
      <c r="Q173" s="12">
        <f>VLOOKUP(N173,RefData!$H$2:$I$15,2,)/100</f>
        <v>0</v>
      </c>
      <c r="R173" s="117" t="s">
        <v>772</v>
      </c>
      <c r="S173" s="1"/>
    </row>
    <row r="174" spans="1:19" ht="28.8" x14ac:dyDescent="0.3">
      <c r="A174" s="71" t="s">
        <v>776</v>
      </c>
      <c r="B174" s="72" t="s">
        <v>766</v>
      </c>
      <c r="C174" s="73"/>
      <c r="D174" s="23" t="s">
        <v>769</v>
      </c>
      <c r="E174" s="6" t="s">
        <v>767</v>
      </c>
      <c r="F174" s="6" t="s">
        <v>90</v>
      </c>
      <c r="G174" s="6" t="s">
        <v>88</v>
      </c>
      <c r="H174" s="6" t="s">
        <v>84</v>
      </c>
      <c r="I174" s="6" t="s">
        <v>768</v>
      </c>
      <c r="J174" s="6">
        <v>0</v>
      </c>
      <c r="K174" s="6" t="s">
        <v>435</v>
      </c>
      <c r="L174" s="14">
        <v>46022</v>
      </c>
      <c r="N174" s="6" t="s">
        <v>144</v>
      </c>
      <c r="O174" s="33">
        <v>45983</v>
      </c>
      <c r="P174" s="76">
        <v>46017</v>
      </c>
      <c r="Q174" s="12">
        <f>VLOOKUP(N174,RefData!$H$2:$I$15,2,)/100</f>
        <v>1</v>
      </c>
      <c r="R174" s="99" t="s">
        <v>770</v>
      </c>
      <c r="S174" s="75"/>
    </row>
    <row r="175" spans="1:19" ht="25.35" customHeight="1" x14ac:dyDescent="0.3">
      <c r="A175" s="17" t="s">
        <v>180</v>
      </c>
      <c r="B175" s="28">
        <v>1</v>
      </c>
      <c r="C175" s="6"/>
      <c r="D175" s="23" t="s">
        <v>249</v>
      </c>
      <c r="E175" s="6" t="s">
        <v>250</v>
      </c>
      <c r="F175" s="6" t="s">
        <v>90</v>
      </c>
      <c r="G175" s="6" t="s">
        <v>186</v>
      </c>
      <c r="H175" s="6" t="s">
        <v>7</v>
      </c>
      <c r="I175" s="6" t="s">
        <v>251</v>
      </c>
      <c r="J175" s="6">
        <v>1</v>
      </c>
      <c r="K175" s="6" t="s">
        <v>435</v>
      </c>
      <c r="L175" s="14" t="s">
        <v>74</v>
      </c>
      <c r="M175" s="7" t="s">
        <v>185</v>
      </c>
      <c r="N175" s="6" t="s">
        <v>144</v>
      </c>
      <c r="O175" s="33">
        <v>45719</v>
      </c>
      <c r="P175" s="31">
        <v>45734</v>
      </c>
      <c r="Q175" s="12">
        <f>VLOOKUP(N175,RefData!$H$2:$I$15,2,)/100</f>
        <v>1</v>
      </c>
      <c r="R175" s="99" t="s">
        <v>643</v>
      </c>
      <c r="S175" s="1" t="s">
        <v>333</v>
      </c>
    </row>
    <row r="176" spans="1:19" ht="25.35" customHeight="1" x14ac:dyDescent="0.3">
      <c r="A176" s="17" t="s">
        <v>180</v>
      </c>
      <c r="B176" s="28">
        <v>1</v>
      </c>
      <c r="C176" s="6"/>
      <c r="D176" s="23" t="s">
        <v>209</v>
      </c>
      <c r="E176" s="6" t="s">
        <v>210</v>
      </c>
      <c r="F176" s="6" t="s">
        <v>90</v>
      </c>
      <c r="G176" s="6" t="s">
        <v>86</v>
      </c>
      <c r="H176" s="6" t="s">
        <v>7</v>
      </c>
      <c r="I176" s="6" t="s">
        <v>167</v>
      </c>
      <c r="J176" s="6"/>
      <c r="K176" s="6" t="s">
        <v>435</v>
      </c>
      <c r="L176" s="14"/>
      <c r="N176" s="6" t="s">
        <v>144</v>
      </c>
      <c r="O176" s="33">
        <v>45411</v>
      </c>
      <c r="P176" s="31">
        <v>45808</v>
      </c>
      <c r="Q176" s="12">
        <f>VLOOKUP(N176,RefData!$H$2:$I$15,2,)/100</f>
        <v>1</v>
      </c>
      <c r="R176" s="99"/>
      <c r="S176" s="1"/>
    </row>
    <row r="177" spans="1:19" ht="25.35" customHeight="1" x14ac:dyDescent="0.3">
      <c r="A177" s="18" t="s">
        <v>180</v>
      </c>
      <c r="B177" s="29">
        <v>1</v>
      </c>
      <c r="C177" s="16"/>
      <c r="D177" s="25" t="s">
        <v>238</v>
      </c>
      <c r="E177" s="16" t="s">
        <v>239</v>
      </c>
      <c r="F177" s="16" t="s">
        <v>90</v>
      </c>
      <c r="G177" s="16" t="s">
        <v>88</v>
      </c>
      <c r="H177" s="16" t="s">
        <v>7</v>
      </c>
      <c r="I177" s="16" t="s">
        <v>171</v>
      </c>
      <c r="J177" s="16">
        <v>0</v>
      </c>
      <c r="K177" s="16" t="s">
        <v>435</v>
      </c>
      <c r="L177" s="20" t="s">
        <v>708</v>
      </c>
      <c r="N177" s="16" t="s">
        <v>235</v>
      </c>
      <c r="O177" s="44"/>
      <c r="P177" s="45"/>
      <c r="Q177" s="21">
        <f>VLOOKUP(N177,RefData!$H$2:$I$15,2,)/100</f>
        <v>0.3</v>
      </c>
      <c r="R177" s="119" t="s">
        <v>252</v>
      </c>
      <c r="S177" s="4" t="s">
        <v>253</v>
      </c>
    </row>
    <row r="178" spans="1:19" ht="57.6" x14ac:dyDescent="0.3">
      <c r="A178" s="17" t="s">
        <v>180</v>
      </c>
      <c r="B178" s="28">
        <v>1</v>
      </c>
      <c r="C178" s="6"/>
      <c r="D178" s="23" t="s">
        <v>236</v>
      </c>
      <c r="E178" s="6" t="s">
        <v>210</v>
      </c>
      <c r="F178" s="6" t="s">
        <v>90</v>
      </c>
      <c r="G178" s="6" t="s">
        <v>88</v>
      </c>
      <c r="H178" s="6" t="s">
        <v>7</v>
      </c>
      <c r="I178" s="6" t="s">
        <v>174</v>
      </c>
      <c r="J178" s="6"/>
      <c r="K178" s="6" t="s">
        <v>435</v>
      </c>
      <c r="L178" s="14">
        <v>45505</v>
      </c>
      <c r="N178" s="6" t="s">
        <v>144</v>
      </c>
      <c r="O178" s="33">
        <v>45474</v>
      </c>
      <c r="P178" s="14">
        <v>45505</v>
      </c>
      <c r="Q178" s="12">
        <f>VLOOKUP(N178,RefData!$H$2:$I$15,2,)/100</f>
        <v>1</v>
      </c>
      <c r="R178" s="99" t="s">
        <v>237</v>
      </c>
      <c r="S178" s="1"/>
    </row>
    <row r="179" spans="1:19" ht="57.6" x14ac:dyDescent="0.3">
      <c r="A179" s="47" t="s">
        <v>180</v>
      </c>
      <c r="B179" s="61"/>
      <c r="C179" s="48"/>
      <c r="D179" s="23" t="s">
        <v>145</v>
      </c>
      <c r="E179" s="6" t="s">
        <v>162</v>
      </c>
      <c r="F179" s="6" t="s">
        <v>90</v>
      </c>
      <c r="G179" s="6" t="s">
        <v>86</v>
      </c>
      <c r="H179" s="6" t="s">
        <v>29</v>
      </c>
      <c r="I179" s="6" t="s">
        <v>171</v>
      </c>
      <c r="J179" s="6"/>
      <c r="K179" s="6" t="s">
        <v>435</v>
      </c>
      <c r="L179" s="14"/>
      <c r="N179" s="6" t="s">
        <v>144</v>
      </c>
      <c r="O179" s="33"/>
      <c r="P179" s="31">
        <v>45476</v>
      </c>
      <c r="Q179" s="12">
        <f>VLOOKUP(N179,RefData!$H$2:$I$15,2,)/100</f>
        <v>1</v>
      </c>
      <c r="R179" s="122" t="s">
        <v>177</v>
      </c>
      <c r="S179" s="1"/>
    </row>
    <row r="180" spans="1:19" ht="17.399999999999999" x14ac:dyDescent="0.3">
      <c r="A180" s="47" t="s">
        <v>180</v>
      </c>
      <c r="B180" s="62" t="s">
        <v>640</v>
      </c>
      <c r="C180" s="48"/>
      <c r="D180" s="23" t="s">
        <v>146</v>
      </c>
      <c r="E180" s="6" t="s">
        <v>16</v>
      </c>
      <c r="F180" s="6" t="s">
        <v>90</v>
      </c>
      <c r="G180" s="6" t="s">
        <v>186</v>
      </c>
      <c r="H180" s="6" t="s">
        <v>6</v>
      </c>
      <c r="I180" s="6" t="s">
        <v>7</v>
      </c>
      <c r="J180" s="6" t="s">
        <v>176</v>
      </c>
      <c r="K180" s="6" t="s">
        <v>436</v>
      </c>
      <c r="L180" s="14"/>
      <c r="N180" s="6" t="s">
        <v>144</v>
      </c>
      <c r="O180" s="33">
        <v>45631</v>
      </c>
      <c r="P180" s="31">
        <v>45301</v>
      </c>
      <c r="Q180" s="12">
        <f>VLOOKUP(N180,RefData!$H$2:$I$15,2,)/100</f>
        <v>1</v>
      </c>
      <c r="R180" s="122"/>
      <c r="S180" s="1"/>
    </row>
    <row r="181" spans="1:19" ht="17.399999999999999" x14ac:dyDescent="0.3">
      <c r="A181" s="47" t="s">
        <v>180</v>
      </c>
      <c r="B181" s="62" t="s">
        <v>476</v>
      </c>
      <c r="C181" s="48"/>
      <c r="D181" s="23" t="s">
        <v>183</v>
      </c>
      <c r="E181" s="6" t="s">
        <v>156</v>
      </c>
      <c r="F181" s="6" t="s">
        <v>90</v>
      </c>
      <c r="G181" s="6" t="s">
        <v>86</v>
      </c>
      <c r="H181" s="6" t="s">
        <v>29</v>
      </c>
      <c r="I181" s="6" t="s">
        <v>172</v>
      </c>
      <c r="J181" s="6"/>
      <c r="K181" s="6" t="s">
        <v>435</v>
      </c>
      <c r="L181" s="52">
        <v>45828</v>
      </c>
      <c r="N181" s="6" t="s">
        <v>426</v>
      </c>
      <c r="O181" s="33"/>
      <c r="P181" s="31"/>
      <c r="Q181" s="12" t="e">
        <f>VLOOKUP(N181,RefData!$H$2:$I$15,2,)/100</f>
        <v>#N/A</v>
      </c>
      <c r="R181" s="123" t="s">
        <v>671</v>
      </c>
      <c r="S181" s="1"/>
    </row>
    <row r="182" spans="1:19" ht="17.399999999999999" x14ac:dyDescent="0.3">
      <c r="A182" s="47" t="s">
        <v>180</v>
      </c>
      <c r="B182" s="62" t="s">
        <v>478</v>
      </c>
      <c r="C182" s="48"/>
      <c r="D182" s="23" t="s">
        <v>150</v>
      </c>
      <c r="E182" s="6" t="s">
        <v>164</v>
      </c>
      <c r="F182" s="6" t="s">
        <v>90</v>
      </c>
      <c r="G182" s="6" t="s">
        <v>86</v>
      </c>
      <c r="H182" s="6" t="s">
        <v>29</v>
      </c>
      <c r="I182" s="6" t="s">
        <v>170</v>
      </c>
      <c r="J182" s="6"/>
      <c r="K182" s="6" t="s">
        <v>436</v>
      </c>
      <c r="L182" s="52">
        <v>45835</v>
      </c>
      <c r="N182" s="6" t="s">
        <v>426</v>
      </c>
      <c r="O182" s="33"/>
      <c r="P182" s="31"/>
      <c r="Q182" s="12" t="e">
        <f>VLOOKUP(N182,RefData!$H$2:$I$15,2,)/100</f>
        <v>#N/A</v>
      </c>
      <c r="R182" s="122"/>
      <c r="S182" s="1" t="s">
        <v>433</v>
      </c>
    </row>
    <row r="183" spans="1:19" ht="28.8" x14ac:dyDescent="0.3">
      <c r="A183" s="47" t="s">
        <v>180</v>
      </c>
      <c r="B183" s="63"/>
      <c r="C183" s="48"/>
      <c r="D183" s="23" t="s">
        <v>151</v>
      </c>
      <c r="E183" s="6" t="s">
        <v>17</v>
      </c>
      <c r="F183" s="6" t="s">
        <v>90</v>
      </c>
      <c r="G183" s="6" t="s">
        <v>86</v>
      </c>
      <c r="H183" s="6" t="s">
        <v>29</v>
      </c>
      <c r="I183" s="6" t="s">
        <v>170</v>
      </c>
      <c r="J183" s="6"/>
      <c r="K183" s="6" t="s">
        <v>436</v>
      </c>
      <c r="L183" s="52">
        <v>45835</v>
      </c>
      <c r="N183" s="6" t="s">
        <v>426</v>
      </c>
      <c r="O183" s="33"/>
      <c r="P183" s="31"/>
      <c r="Q183" s="12" t="e">
        <f>VLOOKUP(N183,RefData!$H$2:$I$15,2,)/100</f>
        <v>#N/A</v>
      </c>
      <c r="R183" s="122" t="s">
        <v>178</v>
      </c>
      <c r="S183" s="1" t="s">
        <v>433</v>
      </c>
    </row>
    <row r="184" spans="1:19" ht="17.399999999999999" x14ac:dyDescent="0.3">
      <c r="A184" s="47" t="s">
        <v>180</v>
      </c>
      <c r="B184" s="61"/>
      <c r="C184" s="48"/>
      <c r="D184" s="23" t="s">
        <v>147</v>
      </c>
      <c r="E184" s="6" t="s">
        <v>163</v>
      </c>
      <c r="F184" s="6" t="s">
        <v>90</v>
      </c>
      <c r="G184" s="6" t="s">
        <v>142</v>
      </c>
      <c r="H184" s="6" t="s">
        <v>29</v>
      </c>
      <c r="I184" s="6" t="s">
        <v>174</v>
      </c>
      <c r="J184" s="6"/>
      <c r="K184" s="6" t="s">
        <v>437</v>
      </c>
      <c r="L184" s="14"/>
      <c r="N184" s="6" t="s">
        <v>144</v>
      </c>
      <c r="O184" s="33"/>
      <c r="P184" s="31">
        <v>45302</v>
      </c>
      <c r="Q184" s="12">
        <f>VLOOKUP(N184,RefData!$H$2:$I$15,2,)/100</f>
        <v>1</v>
      </c>
      <c r="R184" s="122"/>
      <c r="S184" s="1"/>
    </row>
    <row r="185" spans="1:19" ht="17.399999999999999" x14ac:dyDescent="0.3">
      <c r="A185" s="47" t="s">
        <v>180</v>
      </c>
      <c r="B185" s="62"/>
      <c r="C185" s="48"/>
      <c r="D185" s="23" t="s">
        <v>148</v>
      </c>
      <c r="E185" s="6" t="s">
        <v>162</v>
      </c>
      <c r="F185" s="6" t="s">
        <v>90</v>
      </c>
      <c r="G185" s="6" t="s">
        <v>86</v>
      </c>
      <c r="H185" s="6" t="s">
        <v>29</v>
      </c>
      <c r="I185" s="6" t="s">
        <v>171</v>
      </c>
      <c r="J185" s="6"/>
      <c r="K185" s="6" t="s">
        <v>435</v>
      </c>
      <c r="L185" s="52"/>
      <c r="N185" s="6" t="s">
        <v>144</v>
      </c>
      <c r="O185" s="33"/>
      <c r="P185" s="31">
        <v>45838</v>
      </c>
      <c r="Q185" s="12">
        <f>VLOOKUP(N185,RefData!$H$2:$I$15,2,)/100</f>
        <v>1</v>
      </c>
      <c r="R185" s="122" t="s">
        <v>428</v>
      </c>
      <c r="S185" s="1" t="s">
        <v>434</v>
      </c>
    </row>
    <row r="186" spans="1:19" ht="17.399999999999999" x14ac:dyDescent="0.3">
      <c r="A186" s="47" t="s">
        <v>180</v>
      </c>
      <c r="B186" s="62"/>
      <c r="C186" s="48"/>
      <c r="D186" s="23" t="s">
        <v>149</v>
      </c>
      <c r="E186" s="6" t="s">
        <v>161</v>
      </c>
      <c r="F186" s="6" t="s">
        <v>90</v>
      </c>
      <c r="G186" s="6" t="s">
        <v>86</v>
      </c>
      <c r="H186" s="6" t="s">
        <v>29</v>
      </c>
      <c r="I186" s="6" t="s">
        <v>170</v>
      </c>
      <c r="J186" s="6"/>
      <c r="K186" s="6" t="s">
        <v>437</v>
      </c>
      <c r="L186" s="14"/>
      <c r="N186" s="6" t="s">
        <v>144</v>
      </c>
      <c r="O186" s="33"/>
      <c r="P186" s="31">
        <v>45413</v>
      </c>
      <c r="Q186" s="12">
        <f>VLOOKUP(N186,RefData!$H$2:$I$15,2,)/100</f>
        <v>1</v>
      </c>
      <c r="R186" s="122" t="s">
        <v>429</v>
      </c>
      <c r="S186" s="1"/>
    </row>
    <row r="187" spans="1:19" ht="15.6" x14ac:dyDescent="0.3">
      <c r="A187" s="47" t="s">
        <v>180</v>
      </c>
      <c r="B187" s="63"/>
      <c r="C187" s="48"/>
      <c r="D187" s="23" t="s">
        <v>669</v>
      </c>
      <c r="E187" s="6" t="s">
        <v>156</v>
      </c>
      <c r="F187" s="6" t="s">
        <v>90</v>
      </c>
      <c r="G187" s="6" t="s">
        <v>86</v>
      </c>
      <c r="H187" s="6" t="s">
        <v>29</v>
      </c>
      <c r="I187" s="6" t="s">
        <v>166</v>
      </c>
      <c r="J187" s="6"/>
      <c r="K187" s="6" t="s">
        <v>437</v>
      </c>
      <c r="L187" s="52">
        <v>45814</v>
      </c>
      <c r="N187" s="6" t="s">
        <v>426</v>
      </c>
      <c r="O187" s="33"/>
      <c r="P187" s="31"/>
      <c r="Q187" s="12" t="e">
        <f>VLOOKUP(N187,RefData!$H$2:$I$15,2,)/100</f>
        <v>#N/A</v>
      </c>
      <c r="R187" s="123" t="s">
        <v>670</v>
      </c>
      <c r="S187" s="1"/>
    </row>
    <row r="188" spans="1:19" ht="15.6" x14ac:dyDescent="0.3">
      <c r="A188" s="47" t="s">
        <v>180</v>
      </c>
      <c r="B188" s="63"/>
      <c r="C188" s="48"/>
      <c r="D188" s="23" t="s">
        <v>152</v>
      </c>
      <c r="E188" s="6" t="s">
        <v>165</v>
      </c>
      <c r="F188" s="6" t="s">
        <v>90</v>
      </c>
      <c r="G188" s="6" t="s">
        <v>86</v>
      </c>
      <c r="H188" s="6" t="s">
        <v>29</v>
      </c>
      <c r="I188" s="6" t="s">
        <v>175</v>
      </c>
      <c r="J188" s="6"/>
      <c r="K188" s="6" t="s">
        <v>436</v>
      </c>
      <c r="L188" s="14"/>
      <c r="N188" s="6" t="s">
        <v>426</v>
      </c>
      <c r="O188" s="33"/>
      <c r="P188" s="31"/>
      <c r="Q188" s="12" t="e">
        <f>VLOOKUP(N188,RefData!$H$2:$I$15,2,)/100</f>
        <v>#N/A</v>
      </c>
      <c r="R188" s="122" t="s">
        <v>179</v>
      </c>
      <c r="S188" s="1"/>
    </row>
    <row r="189" spans="1:19" ht="15.6" x14ac:dyDescent="0.3">
      <c r="A189" s="47" t="s">
        <v>180</v>
      </c>
      <c r="B189" s="63"/>
      <c r="C189" s="48"/>
      <c r="D189" s="23" t="s">
        <v>153</v>
      </c>
      <c r="E189" s="6" t="s">
        <v>164</v>
      </c>
      <c r="F189" s="6" t="s">
        <v>90</v>
      </c>
      <c r="G189" s="6" t="s">
        <v>86</v>
      </c>
      <c r="H189" s="6" t="s">
        <v>29</v>
      </c>
      <c r="I189" s="6" t="s">
        <v>170</v>
      </c>
      <c r="J189" s="6"/>
      <c r="K189" s="6" t="s">
        <v>435</v>
      </c>
      <c r="L189" s="52"/>
      <c r="N189" s="6" t="s">
        <v>426</v>
      </c>
      <c r="O189" s="33"/>
      <c r="P189" s="31"/>
      <c r="Q189" s="12" t="e">
        <f>VLOOKUP(N189,RefData!$H$2:$I$15,2,)/100</f>
        <v>#N/A</v>
      </c>
      <c r="R189" s="122" t="s">
        <v>430</v>
      </c>
      <c r="S189" s="1"/>
    </row>
    <row r="190" spans="1:19" ht="15.6" x14ac:dyDescent="0.3">
      <c r="A190" s="47" t="s">
        <v>180</v>
      </c>
      <c r="B190" s="63"/>
      <c r="C190" s="48"/>
      <c r="D190" s="23" t="s">
        <v>154</v>
      </c>
      <c r="E190" s="6" t="s">
        <v>155</v>
      </c>
      <c r="F190" s="6" t="s">
        <v>90</v>
      </c>
      <c r="G190" s="6" t="s">
        <v>86</v>
      </c>
      <c r="H190" s="6" t="s">
        <v>29</v>
      </c>
      <c r="I190" s="6" t="s">
        <v>166</v>
      </c>
      <c r="J190" s="6"/>
      <c r="K190" s="6" t="s">
        <v>437</v>
      </c>
      <c r="L190" s="14"/>
      <c r="N190" s="6" t="s">
        <v>426</v>
      </c>
      <c r="O190" s="33"/>
      <c r="P190" s="31"/>
      <c r="Q190" s="12" t="e">
        <f>VLOOKUP(N190,RefData!$H$2:$I$15,2,)/100</f>
        <v>#N/A</v>
      </c>
      <c r="R190" s="122" t="s">
        <v>431</v>
      </c>
      <c r="S190" s="1"/>
    </row>
    <row r="191" spans="1:19" ht="15.6" x14ac:dyDescent="0.3">
      <c r="A191" s="47" t="s">
        <v>180</v>
      </c>
      <c r="B191" s="63" t="s">
        <v>528</v>
      </c>
      <c r="C191" s="48"/>
      <c r="D191" s="23" t="s">
        <v>383</v>
      </c>
      <c r="E191" s="6" t="s">
        <v>159</v>
      </c>
      <c r="F191" s="6" t="s">
        <v>90</v>
      </c>
      <c r="G191" s="6" t="s">
        <v>86</v>
      </c>
      <c r="H191" s="6" t="s">
        <v>29</v>
      </c>
      <c r="I191" s="6" t="s">
        <v>381</v>
      </c>
      <c r="J191" s="6"/>
      <c r="K191" s="6" t="s">
        <v>436</v>
      </c>
      <c r="L191" s="14"/>
      <c r="N191" s="6" t="s">
        <v>144</v>
      </c>
      <c r="O191" s="33"/>
      <c r="P191" s="31">
        <v>45693</v>
      </c>
      <c r="Q191" s="12">
        <f>VLOOKUP(N191,RefData!$H$2:$I$15,2,)/100</f>
        <v>1</v>
      </c>
      <c r="R191" s="79" t="s">
        <v>427</v>
      </c>
      <c r="S191" s="1"/>
    </row>
    <row r="192" spans="1:19" ht="15.6" x14ac:dyDescent="0.3">
      <c r="A192" s="47" t="s">
        <v>180</v>
      </c>
      <c r="B192" s="63" t="s">
        <v>581</v>
      </c>
      <c r="C192" s="48"/>
      <c r="D192" s="23" t="s">
        <v>384</v>
      </c>
      <c r="E192" s="6" t="s">
        <v>17</v>
      </c>
      <c r="F192" s="6" t="s">
        <v>90</v>
      </c>
      <c r="G192" s="6" t="s">
        <v>86</v>
      </c>
      <c r="H192" s="6" t="s">
        <v>29</v>
      </c>
      <c r="I192" s="6" t="s">
        <v>419</v>
      </c>
      <c r="J192" s="6"/>
      <c r="K192" s="6" t="s">
        <v>435</v>
      </c>
      <c r="L192" s="52">
        <v>45828</v>
      </c>
      <c r="N192" s="6" t="s">
        <v>144</v>
      </c>
      <c r="O192" s="33"/>
      <c r="P192" s="31">
        <v>45809</v>
      </c>
      <c r="Q192" s="12">
        <f>VLOOKUP(N192,RefData!$H$2:$I$15,2,)/100</f>
        <v>1</v>
      </c>
      <c r="R192" s="80"/>
      <c r="S192" s="1"/>
    </row>
    <row r="193" spans="1:19" ht="15.6" x14ac:dyDescent="0.3">
      <c r="A193" s="47" t="s">
        <v>180</v>
      </c>
      <c r="B193" s="63" t="s">
        <v>622</v>
      </c>
      <c r="C193" s="48"/>
      <c r="D193" s="23" t="s">
        <v>385</v>
      </c>
      <c r="E193" s="6" t="s">
        <v>162</v>
      </c>
      <c r="F193" s="6" t="s">
        <v>90</v>
      </c>
      <c r="G193" s="6" t="s">
        <v>86</v>
      </c>
      <c r="H193" s="6" t="s">
        <v>29</v>
      </c>
      <c r="I193" s="6" t="s">
        <v>173</v>
      </c>
      <c r="J193" s="6"/>
      <c r="K193" s="6" t="s">
        <v>436</v>
      </c>
      <c r="L193" s="14">
        <v>45786</v>
      </c>
      <c r="N193" s="6" t="s">
        <v>144</v>
      </c>
      <c r="O193" s="33"/>
      <c r="P193" s="31">
        <v>45792</v>
      </c>
      <c r="Q193" s="12">
        <f>VLOOKUP(N193,RefData!$H$2:$I$15,2,)/100</f>
        <v>1</v>
      </c>
      <c r="R193" s="80" t="s">
        <v>432</v>
      </c>
      <c r="S193" s="1"/>
    </row>
    <row r="194" spans="1:19" ht="15.6" x14ac:dyDescent="0.3">
      <c r="A194" s="47" t="s">
        <v>180</v>
      </c>
      <c r="B194" s="63" t="s">
        <v>626</v>
      </c>
      <c r="C194" s="48"/>
      <c r="D194" s="23" t="s">
        <v>386</v>
      </c>
      <c r="E194" s="6" t="s">
        <v>165</v>
      </c>
      <c r="F194" s="6" t="s">
        <v>90</v>
      </c>
      <c r="G194" s="6" t="s">
        <v>420</v>
      </c>
      <c r="H194" s="6" t="s">
        <v>29</v>
      </c>
      <c r="I194" s="6" t="s">
        <v>421</v>
      </c>
      <c r="J194" s="6"/>
      <c r="K194" s="6" t="s">
        <v>437</v>
      </c>
      <c r="L194" s="14">
        <v>45758</v>
      </c>
      <c r="N194" s="6" t="s">
        <v>144</v>
      </c>
      <c r="O194" s="33"/>
      <c r="P194" s="31">
        <v>45758</v>
      </c>
      <c r="Q194" s="12">
        <f>VLOOKUP(N194,RefData!$H$2:$I$15,2,)/100</f>
        <v>1</v>
      </c>
      <c r="R194" s="117"/>
      <c r="S194" s="1"/>
    </row>
    <row r="195" spans="1:19" ht="15.6" x14ac:dyDescent="0.3">
      <c r="A195" s="47" t="s">
        <v>180</v>
      </c>
      <c r="B195" s="63" t="s">
        <v>631</v>
      </c>
      <c r="C195" s="48"/>
      <c r="D195" s="23" t="s">
        <v>641</v>
      </c>
      <c r="E195" s="6" t="s">
        <v>162</v>
      </c>
      <c r="F195" s="6" t="s">
        <v>90</v>
      </c>
      <c r="G195" s="6" t="s">
        <v>86</v>
      </c>
      <c r="H195" s="6" t="s">
        <v>29</v>
      </c>
      <c r="I195" s="6" t="s">
        <v>171</v>
      </c>
      <c r="J195" s="6"/>
      <c r="K195" s="6" t="s">
        <v>435</v>
      </c>
      <c r="L195" s="14">
        <v>45763</v>
      </c>
      <c r="N195" s="6" t="s">
        <v>144</v>
      </c>
      <c r="O195" s="33"/>
      <c r="P195" s="31">
        <v>45770</v>
      </c>
      <c r="Q195" s="12">
        <f>VLOOKUP(N195,RefData!$H$2:$I$15,2,)/100</f>
        <v>1</v>
      </c>
      <c r="R195" s="117" t="s">
        <v>646</v>
      </c>
      <c r="S195" s="1"/>
    </row>
    <row r="196" spans="1:19" ht="15.6" x14ac:dyDescent="0.3">
      <c r="A196" s="47" t="s">
        <v>180</v>
      </c>
      <c r="B196" s="63" t="s">
        <v>635</v>
      </c>
      <c r="C196" s="48"/>
      <c r="D196" s="23" t="s">
        <v>644</v>
      </c>
      <c r="E196" s="6" t="s">
        <v>160</v>
      </c>
      <c r="F196" s="6" t="s">
        <v>90</v>
      </c>
      <c r="G196" s="6" t="s">
        <v>86</v>
      </c>
      <c r="H196" s="6" t="s">
        <v>29</v>
      </c>
      <c r="I196" s="6" t="s">
        <v>169</v>
      </c>
      <c r="J196" s="6"/>
      <c r="K196" s="6" t="s">
        <v>435</v>
      </c>
      <c r="L196" s="14">
        <v>45763</v>
      </c>
      <c r="N196" s="6" t="s">
        <v>144</v>
      </c>
      <c r="O196" s="33"/>
      <c r="P196" s="31">
        <v>45770</v>
      </c>
      <c r="Q196" s="12">
        <f>VLOOKUP(N196,RefData!$H$2:$I$15,2,)/100</f>
        <v>1</v>
      </c>
      <c r="R196" s="117" t="s">
        <v>646</v>
      </c>
      <c r="S196" s="1"/>
    </row>
    <row r="197" spans="1:19" ht="15.6" x14ac:dyDescent="0.3">
      <c r="A197" s="47" t="s">
        <v>180</v>
      </c>
      <c r="B197" s="63"/>
      <c r="C197" s="48"/>
      <c r="D197" s="23" t="s">
        <v>438</v>
      </c>
      <c r="E197" s="6" t="s">
        <v>417</v>
      </c>
      <c r="F197" s="6" t="s">
        <v>90</v>
      </c>
      <c r="G197" s="6" t="s">
        <v>86</v>
      </c>
      <c r="H197" s="6" t="s">
        <v>29</v>
      </c>
      <c r="I197" s="6" t="s">
        <v>422</v>
      </c>
      <c r="J197" s="6"/>
      <c r="K197" s="6" t="s">
        <v>436</v>
      </c>
      <c r="L197" s="14"/>
      <c r="N197" s="6" t="s">
        <v>426</v>
      </c>
      <c r="O197" s="33"/>
      <c r="P197" s="31"/>
      <c r="Q197" s="12" t="e">
        <f>VLOOKUP(N197,RefData!$H$2:$I$15,2,)/100</f>
        <v>#N/A</v>
      </c>
      <c r="R197" s="117" t="s">
        <v>665</v>
      </c>
      <c r="S197" s="1"/>
    </row>
    <row r="198" spans="1:19" ht="15.6" x14ac:dyDescent="0.3">
      <c r="A198" s="47" t="s">
        <v>180</v>
      </c>
      <c r="B198" s="63" t="s">
        <v>631</v>
      </c>
      <c r="C198" s="48"/>
      <c r="D198" s="23" t="s">
        <v>387</v>
      </c>
      <c r="E198" s="6" t="s">
        <v>156</v>
      </c>
      <c r="F198" s="6" t="s">
        <v>90</v>
      </c>
      <c r="G198" s="6" t="s">
        <v>86</v>
      </c>
      <c r="H198" s="6" t="s">
        <v>29</v>
      </c>
      <c r="I198" s="6" t="s">
        <v>168</v>
      </c>
      <c r="J198" s="6"/>
      <c r="K198" s="6" t="s">
        <v>435</v>
      </c>
      <c r="L198" s="52">
        <v>45814</v>
      </c>
      <c r="N198" s="6" t="s">
        <v>144</v>
      </c>
      <c r="O198" s="33"/>
      <c r="P198" s="31">
        <v>45838</v>
      </c>
      <c r="Q198" s="12">
        <f>VLOOKUP(N198,RefData!$H$2:$I$15,2,)/100</f>
        <v>1</v>
      </c>
      <c r="R198" s="117"/>
      <c r="S198" s="1"/>
    </row>
    <row r="199" spans="1:19" ht="15.6" x14ac:dyDescent="0.3">
      <c r="A199" s="47" t="s">
        <v>180</v>
      </c>
      <c r="B199" s="63" t="s">
        <v>621</v>
      </c>
      <c r="C199" s="48"/>
      <c r="D199" s="23" t="s">
        <v>388</v>
      </c>
      <c r="E199" s="6" t="s">
        <v>157</v>
      </c>
      <c r="F199" s="6" t="s">
        <v>90</v>
      </c>
      <c r="G199" s="6" t="s">
        <v>142</v>
      </c>
      <c r="H199" s="6" t="s">
        <v>29</v>
      </c>
      <c r="I199" s="6" t="s">
        <v>174</v>
      </c>
      <c r="J199" s="6"/>
      <c r="K199" s="6" t="s">
        <v>435</v>
      </c>
      <c r="L199" s="33">
        <v>45786</v>
      </c>
      <c r="N199" s="6" t="s">
        <v>144</v>
      </c>
      <c r="O199" s="33"/>
      <c r="P199" s="31">
        <f>+VLOOKUP(B199,Tkt!$A:$B,2,0)</f>
        <v>45723</v>
      </c>
      <c r="Q199" s="12">
        <f>VLOOKUP(N199,RefData!$H$2:$I$15,2,)/100</f>
        <v>1</v>
      </c>
      <c r="R199" s="117"/>
      <c r="S199" s="1"/>
    </row>
    <row r="200" spans="1:19" ht="15.6" x14ac:dyDescent="0.3">
      <c r="A200" s="47" t="s">
        <v>180</v>
      </c>
      <c r="B200" s="63" t="s">
        <v>624</v>
      </c>
      <c r="C200" s="48"/>
      <c r="D200" s="23" t="s">
        <v>389</v>
      </c>
      <c r="E200" s="6" t="s">
        <v>162</v>
      </c>
      <c r="F200" s="6" t="s">
        <v>90</v>
      </c>
      <c r="G200" s="6" t="s">
        <v>86</v>
      </c>
      <c r="H200" s="6" t="s">
        <v>29</v>
      </c>
      <c r="I200" s="6" t="s">
        <v>173</v>
      </c>
      <c r="J200" s="6"/>
      <c r="K200" s="6" t="s">
        <v>435</v>
      </c>
      <c r="L200" s="14"/>
      <c r="N200" s="6" t="s">
        <v>144</v>
      </c>
      <c r="O200" s="33"/>
      <c r="P200" s="31">
        <f>+VLOOKUP(B200,Tkt!$A:$B,2,0)</f>
        <v>45737</v>
      </c>
      <c r="Q200" s="12">
        <f>VLOOKUP(N200,RefData!$H$2:$I$15,2,)/100</f>
        <v>1</v>
      </c>
      <c r="R200" s="117"/>
      <c r="S200" s="1"/>
    </row>
    <row r="201" spans="1:19" ht="15.6" x14ac:dyDescent="0.3">
      <c r="A201" s="47" t="s">
        <v>180</v>
      </c>
      <c r="B201" s="63"/>
      <c r="C201" s="48"/>
      <c r="D201" s="23" t="s">
        <v>390</v>
      </c>
      <c r="E201" s="6" t="s">
        <v>160</v>
      </c>
      <c r="F201" s="6" t="s">
        <v>90</v>
      </c>
      <c r="G201" s="6" t="s">
        <v>86</v>
      </c>
      <c r="H201" s="6" t="s">
        <v>29</v>
      </c>
      <c r="I201" s="6" t="s">
        <v>169</v>
      </c>
      <c r="J201" s="6"/>
      <c r="K201" s="6" t="s">
        <v>435</v>
      </c>
      <c r="L201" s="14"/>
      <c r="N201" s="6" t="s">
        <v>144</v>
      </c>
      <c r="O201" s="33"/>
      <c r="P201" s="31">
        <v>45731</v>
      </c>
      <c r="Q201" s="12">
        <f>VLOOKUP(N201,RefData!$H$2:$I$15,2,)/100</f>
        <v>1</v>
      </c>
      <c r="R201" s="117"/>
      <c r="S201" s="1"/>
    </row>
    <row r="202" spans="1:19" ht="15.6" x14ac:dyDescent="0.3">
      <c r="A202" s="47" t="s">
        <v>180</v>
      </c>
      <c r="B202" s="63" t="s">
        <v>457</v>
      </c>
      <c r="C202" s="48"/>
      <c r="D202" s="23" t="s">
        <v>391</v>
      </c>
      <c r="E202" s="6" t="s">
        <v>158</v>
      </c>
      <c r="F202" s="6" t="s">
        <v>90</v>
      </c>
      <c r="G202" s="6" t="s">
        <v>86</v>
      </c>
      <c r="H202" s="6" t="s">
        <v>7</v>
      </c>
      <c r="I202" s="6" t="s">
        <v>423</v>
      </c>
      <c r="J202" s="6"/>
      <c r="K202" s="6" t="s">
        <v>435</v>
      </c>
      <c r="L202" s="14"/>
      <c r="N202" s="6" t="s">
        <v>144</v>
      </c>
      <c r="O202" s="33">
        <v>45414</v>
      </c>
      <c r="P202" s="31">
        <f>+VLOOKUP(B202,Tkt!$A:$B,2,0)</f>
        <v>45418</v>
      </c>
      <c r="Q202" s="12">
        <f>VLOOKUP(N202,RefData!$H$2:$I$15,2,)/100</f>
        <v>1</v>
      </c>
      <c r="R202" s="117"/>
      <c r="S202" s="1"/>
    </row>
    <row r="203" spans="1:19" ht="15.6" x14ac:dyDescent="0.3">
      <c r="A203" s="47" t="s">
        <v>180</v>
      </c>
      <c r="B203" s="63" t="s">
        <v>460</v>
      </c>
      <c r="C203" s="48"/>
      <c r="D203" s="23" t="s">
        <v>392</v>
      </c>
      <c r="E203" s="6" t="s">
        <v>165</v>
      </c>
      <c r="F203" s="6" t="s">
        <v>90</v>
      </c>
      <c r="G203" s="6" t="s">
        <v>420</v>
      </c>
      <c r="H203" s="6" t="s">
        <v>29</v>
      </c>
      <c r="I203" s="6" t="s">
        <v>424</v>
      </c>
      <c r="J203" s="6"/>
      <c r="K203" s="6" t="s">
        <v>437</v>
      </c>
      <c r="L203" s="14"/>
      <c r="N203" s="6" t="s">
        <v>144</v>
      </c>
      <c r="O203" s="33"/>
      <c r="P203" s="31">
        <f>+VLOOKUP(B203,Tkt!$A:$B,2,0)</f>
        <v>45343</v>
      </c>
      <c r="Q203" s="12">
        <f>VLOOKUP(N203,RefData!$H$2:$I$15,2,)/100</f>
        <v>1</v>
      </c>
      <c r="R203" s="117"/>
      <c r="S203" s="1"/>
    </row>
    <row r="204" spans="1:19" ht="15.6" x14ac:dyDescent="0.3">
      <c r="A204" s="47" t="s">
        <v>180</v>
      </c>
      <c r="B204" s="63" t="s">
        <v>465</v>
      </c>
      <c r="C204" s="48"/>
      <c r="D204" s="23" t="s">
        <v>393</v>
      </c>
      <c r="E204" s="6" t="s">
        <v>162</v>
      </c>
      <c r="F204" s="6" t="s">
        <v>90</v>
      </c>
      <c r="G204" s="6" t="s">
        <v>86</v>
      </c>
      <c r="H204" s="6" t="s">
        <v>29</v>
      </c>
      <c r="I204" s="6" t="s">
        <v>171</v>
      </c>
      <c r="J204" s="6"/>
      <c r="K204" s="6" t="s">
        <v>437</v>
      </c>
      <c r="L204" s="14"/>
      <c r="N204" s="6" t="s">
        <v>144</v>
      </c>
      <c r="O204" s="33"/>
      <c r="P204" s="31">
        <f>+VLOOKUP(B204,Tkt!$A:$B,2,0)</f>
        <v>45363</v>
      </c>
      <c r="Q204" s="12">
        <f>VLOOKUP(N204,RefData!$H$2:$I$15,2,)/100</f>
        <v>1</v>
      </c>
      <c r="R204" s="117"/>
      <c r="S204" s="1"/>
    </row>
    <row r="205" spans="1:19" ht="15.6" x14ac:dyDescent="0.3">
      <c r="A205" s="47" t="s">
        <v>180</v>
      </c>
      <c r="B205" s="63" t="s">
        <v>568</v>
      </c>
      <c r="C205" s="48"/>
      <c r="D205" s="23" t="s">
        <v>394</v>
      </c>
      <c r="E205" s="6" t="s">
        <v>156</v>
      </c>
      <c r="F205" s="6" t="s">
        <v>90</v>
      </c>
      <c r="G205" s="6" t="s">
        <v>86</v>
      </c>
      <c r="H205" s="6" t="s">
        <v>29</v>
      </c>
      <c r="I205" s="6" t="s">
        <v>166</v>
      </c>
      <c r="J205" s="6"/>
      <c r="K205" s="6" t="s">
        <v>437</v>
      </c>
      <c r="L205" s="14"/>
      <c r="N205" s="6" t="s">
        <v>144</v>
      </c>
      <c r="O205" s="33"/>
      <c r="P205" s="31">
        <f>+VLOOKUP(B205,Tkt!$A:$B,2,0)</f>
        <v>45579</v>
      </c>
      <c r="Q205" s="12">
        <f>VLOOKUP(N205,RefData!$H$2:$I$15,2,)/100</f>
        <v>1</v>
      </c>
      <c r="R205" s="117"/>
      <c r="S205" s="1"/>
    </row>
    <row r="206" spans="1:19" ht="15.6" x14ac:dyDescent="0.3">
      <c r="A206" s="47" t="s">
        <v>180</v>
      </c>
      <c r="B206" s="63" t="s">
        <v>479</v>
      </c>
      <c r="C206" s="48"/>
      <c r="D206" s="23" t="s">
        <v>395</v>
      </c>
      <c r="E206" s="6" t="s">
        <v>157</v>
      </c>
      <c r="F206" s="6" t="s">
        <v>90</v>
      </c>
      <c r="G206" s="6" t="s">
        <v>86</v>
      </c>
      <c r="H206" s="6" t="s">
        <v>29</v>
      </c>
      <c r="I206" s="6" t="s">
        <v>167</v>
      </c>
      <c r="J206" s="6"/>
      <c r="K206" s="6" t="s">
        <v>435</v>
      </c>
      <c r="L206" s="14"/>
      <c r="N206" s="6" t="s">
        <v>144</v>
      </c>
      <c r="O206" s="33"/>
      <c r="P206" s="31">
        <f>+VLOOKUP(B206,Tkt!$A:$B,2,0)</f>
        <v>45385</v>
      </c>
      <c r="Q206" s="12">
        <f>VLOOKUP(N206,RefData!$H$2:$I$15,2,)/100</f>
        <v>1</v>
      </c>
      <c r="R206" s="117"/>
      <c r="S206" s="1"/>
    </row>
    <row r="207" spans="1:19" ht="15.6" x14ac:dyDescent="0.3">
      <c r="A207" s="47" t="s">
        <v>180</v>
      </c>
      <c r="B207" s="63" t="s">
        <v>483</v>
      </c>
      <c r="C207" s="48"/>
      <c r="D207" s="23" t="s">
        <v>396</v>
      </c>
      <c r="E207" s="6" t="s">
        <v>16</v>
      </c>
      <c r="F207" s="6" t="s">
        <v>90</v>
      </c>
      <c r="G207" s="6" t="s">
        <v>86</v>
      </c>
      <c r="H207" s="6" t="s">
        <v>29</v>
      </c>
      <c r="I207" s="6" t="s">
        <v>265</v>
      </c>
      <c r="J207" s="6"/>
      <c r="K207" s="6" t="s">
        <v>436</v>
      </c>
      <c r="L207" s="14"/>
      <c r="N207" s="6" t="s">
        <v>144</v>
      </c>
      <c r="O207" s="33"/>
      <c r="P207" s="31">
        <f>+VLOOKUP(B207,Tkt!$A:$B,2,0)</f>
        <v>45407</v>
      </c>
      <c r="Q207" s="12">
        <f>VLOOKUP(N207,RefData!$H$2:$I$15,2,)/100</f>
        <v>1</v>
      </c>
      <c r="R207" s="117"/>
      <c r="S207" s="1"/>
    </row>
    <row r="208" spans="1:19" ht="15.6" x14ac:dyDescent="0.3">
      <c r="A208" s="47" t="s">
        <v>180</v>
      </c>
      <c r="B208" s="63" t="s">
        <v>489</v>
      </c>
      <c r="C208" s="48"/>
      <c r="D208" s="23" t="s">
        <v>397</v>
      </c>
      <c r="E208" s="6" t="s">
        <v>156</v>
      </c>
      <c r="F208" s="6" t="s">
        <v>90</v>
      </c>
      <c r="G208" s="6" t="s">
        <v>86</v>
      </c>
      <c r="H208" s="6" t="s">
        <v>29</v>
      </c>
      <c r="I208" s="6" t="s">
        <v>29</v>
      </c>
      <c r="J208" s="6"/>
      <c r="K208" s="6" t="s">
        <v>435</v>
      </c>
      <c r="L208" s="14"/>
      <c r="N208" s="6" t="s">
        <v>144</v>
      </c>
      <c r="O208" s="33"/>
      <c r="P208" s="31">
        <f>+VLOOKUP(B208,Tkt!$A:$B,2,0)</f>
        <v>45385</v>
      </c>
      <c r="Q208" s="12">
        <f>VLOOKUP(N208,RefData!$H$2:$I$15,2,)/100</f>
        <v>1</v>
      </c>
      <c r="R208" s="117"/>
      <c r="S208" s="1"/>
    </row>
    <row r="209" spans="1:19" ht="15.6" x14ac:dyDescent="0.3">
      <c r="A209" s="47" t="s">
        <v>180</v>
      </c>
      <c r="B209" s="63" t="s">
        <v>494</v>
      </c>
      <c r="C209" s="48"/>
      <c r="D209" s="23" t="s">
        <v>398</v>
      </c>
      <c r="E209" s="6" t="s">
        <v>164</v>
      </c>
      <c r="F209" s="6" t="s">
        <v>90</v>
      </c>
      <c r="G209" s="6" t="s">
        <v>86</v>
      </c>
      <c r="H209" s="6" t="s">
        <v>29</v>
      </c>
      <c r="I209" s="6" t="s">
        <v>170</v>
      </c>
      <c r="J209" s="6"/>
      <c r="K209" s="6" t="s">
        <v>435</v>
      </c>
      <c r="L209" s="14"/>
      <c r="N209" s="6" t="s">
        <v>144</v>
      </c>
      <c r="O209" s="33"/>
      <c r="P209" s="31">
        <f>+VLOOKUP(B209,Tkt!$A:$B,2,0)</f>
        <v>45415</v>
      </c>
      <c r="Q209" s="12">
        <f>VLOOKUP(N209,RefData!$H$2:$I$15,2,)/100</f>
        <v>1</v>
      </c>
      <c r="R209" s="117"/>
      <c r="S209" s="1"/>
    </row>
    <row r="210" spans="1:19" ht="15.6" x14ac:dyDescent="0.3">
      <c r="A210" s="47" t="s">
        <v>180</v>
      </c>
      <c r="B210" s="63" t="s">
        <v>495</v>
      </c>
      <c r="C210" s="48"/>
      <c r="D210" s="23" t="s">
        <v>399</v>
      </c>
      <c r="E210" s="6" t="s">
        <v>162</v>
      </c>
      <c r="F210" s="6" t="s">
        <v>90</v>
      </c>
      <c r="G210" s="6" t="s">
        <v>86</v>
      </c>
      <c r="H210" s="6" t="s">
        <v>29</v>
      </c>
      <c r="I210" s="6" t="s">
        <v>171</v>
      </c>
      <c r="J210" s="6"/>
      <c r="K210" s="6" t="s">
        <v>437</v>
      </c>
      <c r="L210" s="14"/>
      <c r="N210" s="6" t="s">
        <v>144</v>
      </c>
      <c r="O210" s="33"/>
      <c r="P210" s="31">
        <f>+VLOOKUP(B210,Tkt!$A:$B,2,0)</f>
        <v>45415</v>
      </c>
      <c r="Q210" s="12">
        <f>VLOOKUP(N210,RefData!$H$2:$I$15,2,)/100</f>
        <v>1</v>
      </c>
      <c r="R210" s="117"/>
      <c r="S210" s="1"/>
    </row>
    <row r="211" spans="1:19" ht="15.6" x14ac:dyDescent="0.3">
      <c r="A211" s="47" t="s">
        <v>180</v>
      </c>
      <c r="B211" s="63" t="s">
        <v>503</v>
      </c>
      <c r="C211" s="48"/>
      <c r="D211" s="23" t="s">
        <v>400</v>
      </c>
      <c r="E211" s="6" t="s">
        <v>157</v>
      </c>
      <c r="F211" s="6" t="s">
        <v>90</v>
      </c>
      <c r="G211" s="6" t="s">
        <v>142</v>
      </c>
      <c r="H211" s="6" t="s">
        <v>29</v>
      </c>
      <c r="I211" s="6" t="s">
        <v>174</v>
      </c>
      <c r="J211" s="6"/>
      <c r="K211" s="6" t="s">
        <v>435</v>
      </c>
      <c r="L211" s="14"/>
      <c r="N211" s="6" t="s">
        <v>144</v>
      </c>
      <c r="O211" s="33"/>
      <c r="P211" s="31">
        <f>+VLOOKUP(B211,Tkt!$A:$B,2,0)</f>
        <v>45660</v>
      </c>
      <c r="Q211" s="12">
        <f>VLOOKUP(N211,RefData!$H$2:$I$15,2,)/100</f>
        <v>1</v>
      </c>
      <c r="R211" s="117"/>
      <c r="S211" s="1"/>
    </row>
    <row r="212" spans="1:19" ht="28.8" x14ac:dyDescent="0.3">
      <c r="A212" s="47" t="s">
        <v>180</v>
      </c>
      <c r="B212" s="63" t="s">
        <v>509</v>
      </c>
      <c r="C212" s="48"/>
      <c r="D212" s="23" t="s">
        <v>401</v>
      </c>
      <c r="E212" s="6" t="s">
        <v>162</v>
      </c>
      <c r="F212" s="6" t="s">
        <v>90</v>
      </c>
      <c r="G212" s="6" t="s">
        <v>86</v>
      </c>
      <c r="H212" s="6" t="s">
        <v>29</v>
      </c>
      <c r="I212" s="6" t="s">
        <v>171</v>
      </c>
      <c r="J212" s="6"/>
      <c r="K212" s="6" t="s">
        <v>437</v>
      </c>
      <c r="L212" s="14"/>
      <c r="N212" s="6" t="s">
        <v>144</v>
      </c>
      <c r="O212" s="33"/>
      <c r="P212" s="31">
        <f>+VLOOKUP(B212,Tkt!$A:$B,2,0)</f>
        <v>45475</v>
      </c>
      <c r="Q212" s="12">
        <f>VLOOKUP(N212,RefData!$H$2:$I$15,2,)/100</f>
        <v>1</v>
      </c>
      <c r="R212" s="117"/>
      <c r="S212" s="1"/>
    </row>
    <row r="213" spans="1:19" ht="15.6" x14ac:dyDescent="0.3">
      <c r="A213" s="47" t="s">
        <v>180</v>
      </c>
      <c r="B213" s="63" t="s">
        <v>512</v>
      </c>
      <c r="C213" s="48"/>
      <c r="D213" s="23" t="s">
        <v>402</v>
      </c>
      <c r="E213" s="6" t="s">
        <v>157</v>
      </c>
      <c r="F213" s="6" t="s">
        <v>90</v>
      </c>
      <c r="G213" s="6" t="s">
        <v>86</v>
      </c>
      <c r="H213" s="6" t="s">
        <v>29</v>
      </c>
      <c r="I213" s="6" t="s">
        <v>425</v>
      </c>
      <c r="J213" s="6"/>
      <c r="K213" s="6" t="s">
        <v>435</v>
      </c>
      <c r="L213" s="14"/>
      <c r="N213" s="6" t="s">
        <v>144</v>
      </c>
      <c r="O213" s="33"/>
      <c r="P213" s="31">
        <f>+VLOOKUP(B213,Tkt!$A:$B,2,0)</f>
        <v>45610</v>
      </c>
      <c r="Q213" s="12">
        <f>VLOOKUP(N213,RefData!$H$2:$I$15,2,)/100</f>
        <v>1</v>
      </c>
      <c r="R213" s="117"/>
      <c r="S213" s="1"/>
    </row>
    <row r="214" spans="1:19" ht="15.6" x14ac:dyDescent="0.3">
      <c r="A214" s="47" t="s">
        <v>180</v>
      </c>
      <c r="B214" s="63" t="s">
        <v>517</v>
      </c>
      <c r="C214" s="48"/>
      <c r="D214" s="23" t="s">
        <v>403</v>
      </c>
      <c r="E214" s="6" t="s">
        <v>162</v>
      </c>
      <c r="F214" s="6" t="s">
        <v>90</v>
      </c>
      <c r="G214" s="6" t="s">
        <v>86</v>
      </c>
      <c r="H214" s="6" t="s">
        <v>29</v>
      </c>
      <c r="I214" s="6" t="s">
        <v>171</v>
      </c>
      <c r="J214" s="6"/>
      <c r="K214" s="6" t="s">
        <v>435</v>
      </c>
      <c r="L214" s="14"/>
      <c r="N214" s="6" t="s">
        <v>144</v>
      </c>
      <c r="O214" s="33"/>
      <c r="P214" s="31">
        <f>+VLOOKUP(B214,Tkt!$A:$B,2,0)</f>
        <v>45460</v>
      </c>
      <c r="Q214" s="12">
        <f>VLOOKUP(N214,RefData!$H$2:$I$15,2,)/100</f>
        <v>1</v>
      </c>
      <c r="R214" s="117"/>
      <c r="S214" s="1"/>
    </row>
    <row r="215" spans="1:19" ht="15.6" x14ac:dyDescent="0.3">
      <c r="A215" s="47" t="s">
        <v>180</v>
      </c>
      <c r="B215" s="63" t="s">
        <v>524</v>
      </c>
      <c r="C215" s="48"/>
      <c r="D215" s="23" t="s">
        <v>404</v>
      </c>
      <c r="E215" s="6" t="s">
        <v>160</v>
      </c>
      <c r="F215" s="6" t="s">
        <v>90</v>
      </c>
      <c r="G215" s="6" t="s">
        <v>86</v>
      </c>
      <c r="H215" s="6" t="s">
        <v>29</v>
      </c>
      <c r="I215" s="6" t="s">
        <v>169</v>
      </c>
      <c r="J215" s="6"/>
      <c r="K215" s="6" t="s">
        <v>436</v>
      </c>
      <c r="L215" s="14"/>
      <c r="N215" s="6" t="s">
        <v>144</v>
      </c>
      <c r="O215" s="33"/>
      <c r="P215" s="31">
        <f>+VLOOKUP(B215,Tkt!$A:$B,2,0)</f>
        <v>45545</v>
      </c>
      <c r="Q215" s="12">
        <f>VLOOKUP(N215,RefData!$H$2:$I$15,2,)/100</f>
        <v>1</v>
      </c>
      <c r="R215" s="117"/>
      <c r="S215" s="1"/>
    </row>
    <row r="216" spans="1:19" ht="15.6" x14ac:dyDescent="0.3">
      <c r="A216" s="47" t="s">
        <v>180</v>
      </c>
      <c r="B216" s="63" t="s">
        <v>528</v>
      </c>
      <c r="C216" s="48"/>
      <c r="D216" s="23" t="s">
        <v>405</v>
      </c>
      <c r="E216" s="6" t="s">
        <v>159</v>
      </c>
      <c r="F216" s="6" t="s">
        <v>90</v>
      </c>
      <c r="G216" s="6" t="s">
        <v>86</v>
      </c>
      <c r="H216" s="6" t="s">
        <v>29</v>
      </c>
      <c r="I216" s="6" t="s">
        <v>29</v>
      </c>
      <c r="J216" s="6"/>
      <c r="K216" s="6" t="s">
        <v>436</v>
      </c>
      <c r="L216" s="14"/>
      <c r="N216" s="6" t="s">
        <v>144</v>
      </c>
      <c r="O216" s="33"/>
      <c r="P216" s="31">
        <v>45736</v>
      </c>
      <c r="Q216" s="12">
        <f>VLOOKUP(N216,RefData!$H$2:$I$15,2,)/100</f>
        <v>1</v>
      </c>
      <c r="R216" s="117"/>
      <c r="S216" s="1"/>
    </row>
    <row r="217" spans="1:19" ht="28.8" x14ac:dyDescent="0.3">
      <c r="A217" s="47" t="s">
        <v>180</v>
      </c>
      <c r="B217" s="63" t="s">
        <v>534</v>
      </c>
      <c r="C217" s="48"/>
      <c r="D217" s="23" t="s">
        <v>406</v>
      </c>
      <c r="E217" s="6" t="s">
        <v>164</v>
      </c>
      <c r="F217" s="6" t="s">
        <v>90</v>
      </c>
      <c r="G217" s="6" t="s">
        <v>86</v>
      </c>
      <c r="H217" s="6" t="s">
        <v>29</v>
      </c>
      <c r="I217" s="6" t="s">
        <v>170</v>
      </c>
      <c r="J217" s="6"/>
      <c r="K217" s="6" t="s">
        <v>435</v>
      </c>
      <c r="L217" s="14"/>
      <c r="N217" s="6" t="s">
        <v>144</v>
      </c>
      <c r="O217" s="33"/>
      <c r="P217" s="31">
        <f>+VLOOKUP(B217,Tkt!$A:$B,2,0)</f>
        <v>45503</v>
      </c>
      <c r="Q217" s="12">
        <f>VLOOKUP(N217,RefData!$H$2:$I$15,2,)/100</f>
        <v>1</v>
      </c>
      <c r="R217" s="117"/>
      <c r="S217" s="1"/>
    </row>
    <row r="218" spans="1:19" ht="15.6" x14ac:dyDescent="0.3">
      <c r="A218" s="47" t="s">
        <v>180</v>
      </c>
      <c r="B218" s="63" t="s">
        <v>565</v>
      </c>
      <c r="C218" s="48"/>
      <c r="D218" s="23" t="s">
        <v>407</v>
      </c>
      <c r="E218" s="6" t="s">
        <v>164</v>
      </c>
      <c r="F218" s="6" t="s">
        <v>90</v>
      </c>
      <c r="G218" s="6" t="s">
        <v>86</v>
      </c>
      <c r="H218" s="6" t="s">
        <v>29</v>
      </c>
      <c r="I218" s="6" t="s">
        <v>170</v>
      </c>
      <c r="J218" s="6"/>
      <c r="K218" s="6" t="s">
        <v>435</v>
      </c>
      <c r="L218" s="14"/>
      <c r="M218" s="6"/>
      <c r="N218" s="6" t="s">
        <v>144</v>
      </c>
      <c r="O218" s="33"/>
      <c r="P218" s="31">
        <f>+VLOOKUP(B218,Tkt!$A:$B,2,0)</f>
        <v>45594</v>
      </c>
      <c r="Q218" s="12">
        <f>VLOOKUP(N218,RefData!$H$2:$I$15,2,)/100</f>
        <v>1</v>
      </c>
      <c r="R218" s="117"/>
      <c r="S218" s="1"/>
    </row>
    <row r="219" spans="1:19" ht="15.6" x14ac:dyDescent="0.3">
      <c r="A219" s="47" t="s">
        <v>180</v>
      </c>
      <c r="B219" s="63" t="s">
        <v>570</v>
      </c>
      <c r="C219" s="48"/>
      <c r="D219" s="23" t="s">
        <v>408</v>
      </c>
      <c r="E219" s="6" t="s">
        <v>418</v>
      </c>
      <c r="F219" s="6" t="s">
        <v>90</v>
      </c>
      <c r="G219" s="6" t="s">
        <v>86</v>
      </c>
      <c r="H219" s="6" t="s">
        <v>29</v>
      </c>
      <c r="I219" s="6" t="s">
        <v>168</v>
      </c>
      <c r="J219" s="6"/>
      <c r="K219" s="6" t="s">
        <v>437</v>
      </c>
      <c r="L219" s="14"/>
      <c r="N219" s="6" t="s">
        <v>144</v>
      </c>
      <c r="O219" s="33"/>
      <c r="P219" s="31">
        <f>+VLOOKUP(B219,Tkt!$A:$B,2,0)</f>
        <v>45572</v>
      </c>
      <c r="Q219" s="12">
        <f>VLOOKUP(N219,RefData!$H$2:$I$15,2,)/100</f>
        <v>1</v>
      </c>
      <c r="R219" s="117"/>
      <c r="S219" s="1"/>
    </row>
    <row r="220" spans="1:19" ht="15.6" x14ac:dyDescent="0.3">
      <c r="A220" s="47" t="s">
        <v>180</v>
      </c>
      <c r="B220" s="63" t="s">
        <v>573</v>
      </c>
      <c r="C220" s="48"/>
      <c r="D220" s="23" t="s">
        <v>409</v>
      </c>
      <c r="E220" s="6" t="s">
        <v>165</v>
      </c>
      <c r="F220" s="6" t="s">
        <v>90</v>
      </c>
      <c r="G220" s="6" t="s">
        <v>420</v>
      </c>
      <c r="H220" s="6" t="s">
        <v>29</v>
      </c>
      <c r="I220" s="6" t="s">
        <v>424</v>
      </c>
      <c r="J220" s="6"/>
      <c r="K220" s="6" t="s">
        <v>437</v>
      </c>
      <c r="L220" s="14"/>
      <c r="N220" s="6" t="s">
        <v>144</v>
      </c>
      <c r="O220" s="33"/>
      <c r="P220" s="31">
        <f>+VLOOKUP(B220,Tkt!$A:$B,2,0)</f>
        <v>45595</v>
      </c>
      <c r="Q220" s="12">
        <f>VLOOKUP(N220,RefData!$H$2:$I$15,2,)/100</f>
        <v>1</v>
      </c>
      <c r="R220" s="117"/>
      <c r="S220" s="1"/>
    </row>
    <row r="221" spans="1:19" ht="15.6" x14ac:dyDescent="0.3">
      <c r="A221" s="47" t="s">
        <v>180</v>
      </c>
      <c r="B221" s="63" t="s">
        <v>575</v>
      </c>
      <c r="C221" s="48"/>
      <c r="D221" s="23" t="s">
        <v>410</v>
      </c>
      <c r="E221" s="6" t="s">
        <v>160</v>
      </c>
      <c r="F221" s="6" t="s">
        <v>90</v>
      </c>
      <c r="G221" s="6" t="s">
        <v>86</v>
      </c>
      <c r="H221" s="6" t="s">
        <v>29</v>
      </c>
      <c r="I221" s="6" t="s">
        <v>169</v>
      </c>
      <c r="J221" s="6"/>
      <c r="K221" s="6" t="s">
        <v>435</v>
      </c>
      <c r="L221" s="14"/>
      <c r="N221" s="6" t="s">
        <v>144</v>
      </c>
      <c r="O221" s="33"/>
      <c r="P221" s="31">
        <f>+VLOOKUP(B221,Tkt!$A:$B,2,0)</f>
        <v>45610</v>
      </c>
      <c r="Q221" s="12">
        <f>VLOOKUP(N221,RefData!$H$2:$I$15,2,)/100</f>
        <v>1</v>
      </c>
      <c r="R221" s="117"/>
      <c r="S221" s="1"/>
    </row>
    <row r="222" spans="1:19" ht="15.6" x14ac:dyDescent="0.3">
      <c r="A222" s="47" t="s">
        <v>180</v>
      </c>
      <c r="B222" s="63" t="s">
        <v>582</v>
      </c>
      <c r="C222" s="48"/>
      <c r="D222" s="23" t="s">
        <v>411</v>
      </c>
      <c r="E222" s="6" t="s">
        <v>157</v>
      </c>
      <c r="F222" s="6" t="s">
        <v>90</v>
      </c>
      <c r="G222" s="6" t="s">
        <v>142</v>
      </c>
      <c r="H222" s="6" t="s">
        <v>29</v>
      </c>
      <c r="I222" s="6" t="s">
        <v>174</v>
      </c>
      <c r="J222" s="6"/>
      <c r="K222" s="6" t="s">
        <v>437</v>
      </c>
      <c r="L222" s="33">
        <v>45786</v>
      </c>
      <c r="N222" s="6" t="s">
        <v>144</v>
      </c>
      <c r="O222" s="33"/>
      <c r="P222" s="31">
        <f>+VLOOKUP(B222,Tkt!$A:$B,2,0)</f>
        <v>45629</v>
      </c>
      <c r="Q222" s="12">
        <f>VLOOKUP(N222,RefData!$H$2:$I$15,2,)/100</f>
        <v>1</v>
      </c>
      <c r="R222" s="117"/>
      <c r="S222" s="1"/>
    </row>
    <row r="223" spans="1:19" ht="15.6" x14ac:dyDescent="0.3">
      <c r="A223" s="47" t="s">
        <v>180</v>
      </c>
      <c r="B223" s="63" t="s">
        <v>584</v>
      </c>
      <c r="C223" s="48"/>
      <c r="D223" s="23" t="s">
        <v>412</v>
      </c>
      <c r="E223" s="6" t="s">
        <v>162</v>
      </c>
      <c r="F223" s="6" t="s">
        <v>90</v>
      </c>
      <c r="G223" s="6" t="s">
        <v>86</v>
      </c>
      <c r="H223" s="6" t="s">
        <v>29</v>
      </c>
      <c r="I223" s="6" t="s">
        <v>169</v>
      </c>
      <c r="J223" s="6"/>
      <c r="K223" s="6" t="s">
        <v>435</v>
      </c>
      <c r="L223" s="14"/>
      <c r="N223" s="6" t="s">
        <v>144</v>
      </c>
      <c r="O223" s="33"/>
      <c r="P223" s="31">
        <f>+VLOOKUP(B223,Tkt!$A:$B,2,0)</f>
        <v>45615</v>
      </c>
      <c r="Q223" s="12">
        <f>VLOOKUP(N223,RefData!$H$2:$I$15,2,)/100</f>
        <v>1</v>
      </c>
      <c r="R223" s="117"/>
      <c r="S223" s="1"/>
    </row>
    <row r="224" spans="1:19" ht="15.6" x14ac:dyDescent="0.3">
      <c r="A224" s="47" t="s">
        <v>180</v>
      </c>
      <c r="B224" s="63" t="s">
        <v>586</v>
      </c>
      <c r="C224" s="48"/>
      <c r="D224" s="23" t="s">
        <v>413</v>
      </c>
      <c r="E224" s="6" t="s">
        <v>159</v>
      </c>
      <c r="F224" s="6" t="s">
        <v>90</v>
      </c>
      <c r="G224" s="6" t="s">
        <v>86</v>
      </c>
      <c r="H224" s="6" t="s">
        <v>29</v>
      </c>
      <c r="I224" s="6" t="s">
        <v>381</v>
      </c>
      <c r="J224" s="6"/>
      <c r="K224" s="6" t="s">
        <v>435</v>
      </c>
      <c r="L224" s="14"/>
      <c r="M224" s="6"/>
      <c r="N224" s="6" t="s">
        <v>144</v>
      </c>
      <c r="O224" s="33"/>
      <c r="P224" s="31">
        <f>+VLOOKUP(B224,Tkt!$A:$B,2,0)</f>
        <v>45663</v>
      </c>
      <c r="Q224" s="12">
        <f>VLOOKUP(N224,RefData!$H$2:$I$15,2,)/100</f>
        <v>1</v>
      </c>
      <c r="R224" s="117"/>
      <c r="S224" s="1"/>
    </row>
    <row r="225" spans="1:30" ht="15.6" x14ac:dyDescent="0.3">
      <c r="A225" s="47" t="s">
        <v>180</v>
      </c>
      <c r="B225" s="63" t="s">
        <v>594</v>
      </c>
      <c r="C225" s="48"/>
      <c r="D225" s="23" t="s">
        <v>414</v>
      </c>
      <c r="E225" s="6" t="s">
        <v>159</v>
      </c>
      <c r="F225" s="6" t="s">
        <v>90</v>
      </c>
      <c r="G225" s="6" t="s">
        <v>86</v>
      </c>
      <c r="H225" s="6" t="s">
        <v>29</v>
      </c>
      <c r="I225" s="6" t="s">
        <v>29</v>
      </c>
      <c r="J225" s="6"/>
      <c r="K225" s="6" t="s">
        <v>435</v>
      </c>
      <c r="L225" s="14"/>
      <c r="M225" s="6"/>
      <c r="N225" s="6" t="s">
        <v>144</v>
      </c>
      <c r="O225" s="33"/>
      <c r="P225" s="31">
        <f>+VLOOKUP(B225,Tkt!$A:$B,2,0)</f>
        <v>45665</v>
      </c>
      <c r="Q225" s="12">
        <f>VLOOKUP(N225,RefData!$H$2:$I$15,2,)/100</f>
        <v>1</v>
      </c>
      <c r="R225" s="117"/>
      <c r="S225" s="1"/>
    </row>
    <row r="226" spans="1:30" ht="15.6" x14ac:dyDescent="0.3">
      <c r="A226" s="47" t="s">
        <v>180</v>
      </c>
      <c r="B226" s="63" t="s">
        <v>596</v>
      </c>
      <c r="C226" s="48"/>
      <c r="D226" s="23" t="s">
        <v>415</v>
      </c>
      <c r="E226" s="6" t="s">
        <v>157</v>
      </c>
      <c r="F226" s="6" t="s">
        <v>90</v>
      </c>
      <c r="G226" s="6" t="s">
        <v>86</v>
      </c>
      <c r="H226" s="6" t="s">
        <v>29</v>
      </c>
      <c r="I226" s="6" t="s">
        <v>29</v>
      </c>
      <c r="J226" s="6"/>
      <c r="K226" s="6" t="s">
        <v>435</v>
      </c>
      <c r="L226" s="14"/>
      <c r="M226" s="6"/>
      <c r="N226" s="6" t="s">
        <v>144</v>
      </c>
      <c r="O226" s="33"/>
      <c r="P226" s="31">
        <v>45691</v>
      </c>
      <c r="Q226" s="12">
        <f>VLOOKUP(N226,RefData!$H$2:$I$15,2,)/100</f>
        <v>1</v>
      </c>
      <c r="R226" s="117"/>
      <c r="S226" s="1"/>
    </row>
    <row r="227" spans="1:30" ht="15.6" x14ac:dyDescent="0.3">
      <c r="A227" s="47" t="s">
        <v>180</v>
      </c>
      <c r="B227" s="63" t="s">
        <v>599</v>
      </c>
      <c r="C227" s="48"/>
      <c r="D227" s="23" t="s">
        <v>416</v>
      </c>
      <c r="E227" s="6" t="s">
        <v>164</v>
      </c>
      <c r="F227" s="6" t="s">
        <v>90</v>
      </c>
      <c r="G227" s="6" t="s">
        <v>86</v>
      </c>
      <c r="H227" s="6" t="s">
        <v>29</v>
      </c>
      <c r="I227" s="6" t="s">
        <v>170</v>
      </c>
      <c r="J227" s="6"/>
      <c r="K227" s="6" t="s">
        <v>437</v>
      </c>
      <c r="L227" s="14"/>
      <c r="M227" s="6"/>
      <c r="N227" s="6" t="s">
        <v>144</v>
      </c>
      <c r="O227" s="33"/>
      <c r="P227" s="31">
        <f>+VLOOKUP(B227,Tkt!$A:$B,2,0)</f>
        <v>45671</v>
      </c>
      <c r="Q227" s="12">
        <f>VLOOKUP(N227,RefData!$H$2:$I$15,2,)/100</f>
        <v>1</v>
      </c>
      <c r="R227" s="117"/>
      <c r="S227" s="1"/>
    </row>
    <row r="228" spans="1:30" ht="15.6" x14ac:dyDescent="0.3">
      <c r="A228" s="47" t="s">
        <v>180</v>
      </c>
      <c r="B228" s="63" t="s">
        <v>658</v>
      </c>
      <c r="C228" s="48"/>
      <c r="D228" s="23" t="s">
        <v>657</v>
      </c>
      <c r="E228" s="6" t="s">
        <v>162</v>
      </c>
      <c r="F228" s="6" t="s">
        <v>90</v>
      </c>
      <c r="G228" s="6" t="s">
        <v>86</v>
      </c>
      <c r="H228" s="6" t="s">
        <v>29</v>
      </c>
      <c r="I228" s="6" t="s">
        <v>173</v>
      </c>
      <c r="J228" s="6"/>
      <c r="K228" s="6" t="s">
        <v>435</v>
      </c>
      <c r="L228" s="52">
        <v>45793</v>
      </c>
      <c r="M228" s="6"/>
      <c r="N228" s="6" t="s">
        <v>144</v>
      </c>
      <c r="O228" s="31"/>
      <c r="P228" s="31">
        <v>45778</v>
      </c>
      <c r="Q228" s="12">
        <f>VLOOKUP(N228,RefData!$H$2:$I$15,2,)/100</f>
        <v>1</v>
      </c>
      <c r="R228" s="80"/>
      <c r="S228" s="46"/>
    </row>
    <row r="229" spans="1:30" ht="15.6" x14ac:dyDescent="0.3">
      <c r="A229" s="65" t="s">
        <v>180</v>
      </c>
      <c r="B229" s="66" t="s">
        <v>660</v>
      </c>
      <c r="C229" s="67"/>
      <c r="D229" s="23" t="s">
        <v>659</v>
      </c>
      <c r="E229" s="6" t="s">
        <v>156</v>
      </c>
      <c r="F229" s="6" t="s">
        <v>90</v>
      </c>
      <c r="G229" s="6" t="s">
        <v>86</v>
      </c>
      <c r="H229" s="6" t="s">
        <v>29</v>
      </c>
      <c r="I229" s="6" t="s">
        <v>166</v>
      </c>
      <c r="J229" s="6"/>
      <c r="K229" s="6" t="s">
        <v>435</v>
      </c>
      <c r="L229" s="14">
        <v>45793</v>
      </c>
      <c r="N229" s="6" t="s">
        <v>144</v>
      </c>
      <c r="O229" s="33"/>
      <c r="P229" s="31">
        <v>45793</v>
      </c>
      <c r="Q229" s="12">
        <f>VLOOKUP(N229,RefData!$H$2:$I$15,2,)/100</f>
        <v>1</v>
      </c>
      <c r="R229" s="117"/>
      <c r="S229" s="1"/>
    </row>
    <row r="230" spans="1:30" ht="15.6" x14ac:dyDescent="0.3">
      <c r="A230" s="65" t="s">
        <v>180</v>
      </c>
      <c r="B230" s="66"/>
      <c r="C230" s="67"/>
      <c r="D230" s="23" t="s">
        <v>661</v>
      </c>
      <c r="E230" s="6" t="s">
        <v>157</v>
      </c>
      <c r="F230" s="6" t="s">
        <v>90</v>
      </c>
      <c r="G230" s="6" t="s">
        <v>662</v>
      </c>
      <c r="H230" s="6" t="s">
        <v>29</v>
      </c>
      <c r="I230" s="6" t="s">
        <v>174</v>
      </c>
      <c r="J230" s="6"/>
      <c r="K230" s="6" t="s">
        <v>435</v>
      </c>
      <c r="L230" s="14">
        <v>45803</v>
      </c>
      <c r="M230" s="6"/>
      <c r="N230" s="6" t="s">
        <v>144</v>
      </c>
      <c r="O230" s="33"/>
      <c r="P230" s="31">
        <v>45803</v>
      </c>
      <c r="Q230" s="12">
        <f>VLOOKUP(N230,RefData!$H$2:$I$15,2,)/100</f>
        <v>1</v>
      </c>
      <c r="R230" s="117"/>
      <c r="S230" s="1"/>
    </row>
    <row r="231" spans="1:30" s="107" customFormat="1" ht="25.35" customHeight="1" x14ac:dyDescent="0.3">
      <c r="A231" s="65" t="s">
        <v>180</v>
      </c>
      <c r="B231" s="66" t="s">
        <v>663</v>
      </c>
      <c r="C231" s="67"/>
      <c r="D231" s="23" t="s">
        <v>664</v>
      </c>
      <c r="E231" s="6" t="s">
        <v>157</v>
      </c>
      <c r="F231" s="6" t="s">
        <v>90</v>
      </c>
      <c r="G231" s="6" t="s">
        <v>86</v>
      </c>
      <c r="H231" s="6" t="s">
        <v>29</v>
      </c>
      <c r="I231" s="6" t="s">
        <v>29</v>
      </c>
      <c r="J231" s="6"/>
      <c r="K231" s="6" t="s">
        <v>435</v>
      </c>
      <c r="L231" s="14">
        <v>45800</v>
      </c>
      <c r="M231" s="6"/>
      <c r="N231" s="6" t="s">
        <v>144</v>
      </c>
      <c r="O231" s="33"/>
      <c r="P231" s="31">
        <v>45810</v>
      </c>
      <c r="Q231" s="12">
        <f>VLOOKUP(N231,RefData!$H$2:$I$15,2,)/100</f>
        <v>1</v>
      </c>
      <c r="R231" s="117"/>
      <c r="S231" s="1"/>
    </row>
    <row r="232" spans="1:30" ht="15.6" x14ac:dyDescent="0.3">
      <c r="A232" s="71" t="s">
        <v>180</v>
      </c>
      <c r="B232" s="72" t="s">
        <v>714</v>
      </c>
      <c r="C232" s="73"/>
      <c r="D232" s="23" t="s">
        <v>773</v>
      </c>
      <c r="E232" s="6" t="s">
        <v>250</v>
      </c>
      <c r="F232" s="6" t="s">
        <v>90</v>
      </c>
      <c r="G232" s="6" t="s">
        <v>88</v>
      </c>
      <c r="H232" s="6" t="s">
        <v>7</v>
      </c>
      <c r="I232" s="6" t="s">
        <v>251</v>
      </c>
      <c r="J232" s="6">
        <v>0</v>
      </c>
      <c r="K232" s="6" t="s">
        <v>435</v>
      </c>
      <c r="L232" s="14"/>
      <c r="N232" s="6" t="s">
        <v>144</v>
      </c>
      <c r="O232" s="33">
        <v>45966</v>
      </c>
      <c r="P232" s="12"/>
      <c r="Q232" s="12">
        <f>VLOOKUP(N232,RefData!$H$2:$I$15,2,)/100</f>
        <v>1</v>
      </c>
      <c r="R232" s="117" t="s">
        <v>774</v>
      </c>
      <c r="S232" s="1"/>
    </row>
    <row r="233" spans="1:30" ht="28.8" x14ac:dyDescent="0.3">
      <c r="A233" s="71" t="s">
        <v>180</v>
      </c>
      <c r="B233" s="72" t="s">
        <v>749</v>
      </c>
      <c r="C233" s="73"/>
      <c r="D233" s="23" t="s">
        <v>718</v>
      </c>
      <c r="E233" s="6" t="s">
        <v>157</v>
      </c>
      <c r="F233" s="6" t="s">
        <v>90</v>
      </c>
      <c r="G233" s="6" t="s">
        <v>88</v>
      </c>
      <c r="H233" s="6" t="s">
        <v>7</v>
      </c>
      <c r="I233" s="6" t="s">
        <v>719</v>
      </c>
      <c r="J233" s="6">
        <v>1</v>
      </c>
      <c r="K233" s="6" t="s">
        <v>435</v>
      </c>
      <c r="L233" s="14">
        <v>46135</v>
      </c>
      <c r="M233" s="6"/>
      <c r="N233" s="6" t="s">
        <v>144</v>
      </c>
      <c r="O233" s="33">
        <v>45979</v>
      </c>
      <c r="P233" s="33">
        <v>46134</v>
      </c>
      <c r="Q233" s="12">
        <f>VLOOKUP(N233,RefData!$H$2:$I$15,2,)/100</f>
        <v>1</v>
      </c>
      <c r="R233" s="99" t="s">
        <v>844</v>
      </c>
      <c r="S233" s="1" t="s">
        <v>833</v>
      </c>
    </row>
    <row r="234" spans="1:30" ht="36" customHeight="1" x14ac:dyDescent="0.3">
      <c r="A234" s="71" t="s">
        <v>180</v>
      </c>
      <c r="B234" s="72" t="s">
        <v>640</v>
      </c>
      <c r="C234" s="73"/>
      <c r="D234" s="23" t="s">
        <v>751</v>
      </c>
      <c r="E234" s="6" t="s">
        <v>165</v>
      </c>
      <c r="F234" s="6" t="s">
        <v>90</v>
      </c>
      <c r="G234" s="6" t="s">
        <v>88</v>
      </c>
      <c r="H234" s="6" t="s">
        <v>7</v>
      </c>
      <c r="I234" s="6" t="s">
        <v>752</v>
      </c>
      <c r="J234" s="6">
        <v>0</v>
      </c>
      <c r="K234" s="6" t="s">
        <v>435</v>
      </c>
      <c r="L234" s="14"/>
      <c r="N234" s="6" t="s">
        <v>144</v>
      </c>
      <c r="O234" s="33">
        <v>45965</v>
      </c>
      <c r="P234" s="33">
        <v>46022</v>
      </c>
      <c r="Q234" s="12">
        <f>VLOOKUP(N234,RefData!$H$2:$I$15,2,)/100</f>
        <v>1</v>
      </c>
      <c r="R234" s="99" t="s">
        <v>753</v>
      </c>
      <c r="S234" s="1"/>
    </row>
    <row r="235" spans="1:30" ht="54.6" customHeight="1" x14ac:dyDescent="0.3">
      <c r="A235" s="71" t="s">
        <v>180</v>
      </c>
      <c r="B235" s="72" t="s">
        <v>640</v>
      </c>
      <c r="C235" s="73"/>
      <c r="D235" s="23" t="s">
        <v>762</v>
      </c>
      <c r="E235" s="6" t="s">
        <v>164</v>
      </c>
      <c r="F235" s="6" t="s">
        <v>90</v>
      </c>
      <c r="G235" s="6" t="s">
        <v>86</v>
      </c>
      <c r="H235" s="6" t="s">
        <v>84</v>
      </c>
      <c r="I235" s="6" t="s">
        <v>170</v>
      </c>
      <c r="J235" s="6">
        <v>0</v>
      </c>
      <c r="K235" s="6" t="s">
        <v>435</v>
      </c>
      <c r="L235" s="14"/>
      <c r="M235" s="37" t="s">
        <v>181</v>
      </c>
      <c r="N235" s="6" t="s">
        <v>144</v>
      </c>
      <c r="O235" s="33">
        <v>45992</v>
      </c>
      <c r="P235" s="12"/>
      <c r="Q235" s="12">
        <f>VLOOKUP(N235,RefData!$H$2:$I$15,2,)/100</f>
        <v>1</v>
      </c>
      <c r="R235" s="99" t="s">
        <v>874</v>
      </c>
      <c r="S235" s="77" t="s">
        <v>814</v>
      </c>
    </row>
    <row r="236" spans="1:30" ht="67.2" customHeight="1" x14ac:dyDescent="0.3">
      <c r="A236" s="71" t="s">
        <v>79</v>
      </c>
      <c r="B236" s="72"/>
      <c r="C236" s="73"/>
      <c r="D236" s="23" t="s">
        <v>848</v>
      </c>
      <c r="E236" s="6" t="s">
        <v>812</v>
      </c>
      <c r="F236" s="6" t="s">
        <v>90</v>
      </c>
      <c r="G236" s="6" t="s">
        <v>88</v>
      </c>
      <c r="H236" s="6" t="s">
        <v>380</v>
      </c>
      <c r="I236" s="6" t="s">
        <v>813</v>
      </c>
      <c r="J236" s="6">
        <v>1</v>
      </c>
      <c r="K236" s="6" t="s">
        <v>435</v>
      </c>
      <c r="L236" s="14">
        <v>46203</v>
      </c>
      <c r="M236" s="33" t="s">
        <v>181</v>
      </c>
      <c r="N236" s="6" t="s">
        <v>187</v>
      </c>
      <c r="O236" s="33"/>
      <c r="P236" s="12"/>
      <c r="Q236" s="12">
        <f>VLOOKUP(N236,RefData!$H$2:$I$15,2,)/100</f>
        <v>0</v>
      </c>
      <c r="R236" s="99"/>
      <c r="S236" s="88" t="s">
        <v>871</v>
      </c>
      <c r="T236" s="108"/>
      <c r="U236" s="108"/>
      <c r="V236" s="108"/>
      <c r="W236" s="108"/>
      <c r="X236" s="108"/>
      <c r="Y236" s="108"/>
      <c r="Z236" s="108"/>
      <c r="AA236" s="109"/>
      <c r="AB236" s="108"/>
      <c r="AC236" s="110"/>
      <c r="AD236" s="81"/>
    </row>
    <row r="237" spans="1:30" ht="57.6" x14ac:dyDescent="0.3">
      <c r="A237" s="71" t="s">
        <v>180</v>
      </c>
      <c r="B237" s="72" t="s">
        <v>766</v>
      </c>
      <c r="C237" s="73"/>
      <c r="D237" s="23" t="s">
        <v>816</v>
      </c>
      <c r="E237" s="6" t="s">
        <v>817</v>
      </c>
      <c r="F237" s="6" t="s">
        <v>90</v>
      </c>
      <c r="G237" s="6" t="s">
        <v>818</v>
      </c>
      <c r="H237" s="6" t="s">
        <v>7</v>
      </c>
      <c r="I237" s="6" t="s">
        <v>819</v>
      </c>
      <c r="J237" s="6">
        <v>1</v>
      </c>
      <c r="K237" s="6" t="s">
        <v>435</v>
      </c>
      <c r="L237" s="14"/>
      <c r="M237" s="6"/>
      <c r="N237" s="33" t="s">
        <v>182</v>
      </c>
      <c r="O237" s="33">
        <v>46036</v>
      </c>
      <c r="P237" s="33"/>
      <c r="Q237" s="12">
        <f>VLOOKUP(N237,RefData!$H$2:$I$15,2,)/100</f>
        <v>0.8</v>
      </c>
      <c r="R237" s="124" t="s">
        <v>885</v>
      </c>
      <c r="S237" s="78" t="s">
        <v>870</v>
      </c>
      <c r="T237" s="108"/>
      <c r="U237" s="108"/>
      <c r="V237" s="108"/>
      <c r="W237" s="108"/>
      <c r="X237" s="108"/>
      <c r="Y237" s="108"/>
      <c r="Z237" s="108"/>
      <c r="AA237" s="109"/>
      <c r="AB237" s="108"/>
      <c r="AC237" s="110"/>
      <c r="AD237" s="81"/>
    </row>
    <row r="238" spans="1:30" ht="216" x14ac:dyDescent="0.3">
      <c r="A238" s="71" t="s">
        <v>180</v>
      </c>
      <c r="B238" s="72" t="s">
        <v>820</v>
      </c>
      <c r="C238" s="73"/>
      <c r="D238" s="23" t="s">
        <v>821</v>
      </c>
      <c r="E238" s="6" t="s">
        <v>242</v>
      </c>
      <c r="F238" s="6" t="s">
        <v>90</v>
      </c>
      <c r="G238" s="6" t="s">
        <v>186</v>
      </c>
      <c r="H238" s="6" t="s">
        <v>826</v>
      </c>
      <c r="I238" s="6" t="s">
        <v>822</v>
      </c>
      <c r="J238" s="6">
        <v>1</v>
      </c>
      <c r="K238" s="6" t="s">
        <v>435</v>
      </c>
      <c r="L238" s="14">
        <v>46140</v>
      </c>
      <c r="M238" s="6"/>
      <c r="N238" s="33" t="s">
        <v>181</v>
      </c>
      <c r="O238" s="33">
        <v>45842</v>
      </c>
      <c r="P238" s="33">
        <v>46139</v>
      </c>
      <c r="Q238" s="12">
        <f>VLOOKUP(N238,RefData!$H$2:$I$15,2,)/100</f>
        <v>0.9</v>
      </c>
      <c r="R238" s="101" t="s">
        <v>906</v>
      </c>
      <c r="S238" s="23"/>
      <c r="T238" s="108"/>
      <c r="U238" s="108"/>
      <c r="V238" s="108"/>
      <c r="W238" s="108"/>
      <c r="X238" s="108"/>
      <c r="Y238" s="108"/>
      <c r="Z238" s="108"/>
      <c r="AA238" s="109"/>
      <c r="AB238" s="108"/>
      <c r="AC238" s="110"/>
      <c r="AD238" s="81"/>
    </row>
    <row r="239" spans="1:30" ht="72" x14ac:dyDescent="0.3">
      <c r="A239" s="71" t="s">
        <v>180</v>
      </c>
      <c r="B239" s="72" t="s">
        <v>766</v>
      </c>
      <c r="C239" s="73"/>
      <c r="D239" s="23" t="s">
        <v>823</v>
      </c>
      <c r="E239" s="6" t="s">
        <v>824</v>
      </c>
      <c r="F239" s="6" t="s">
        <v>90</v>
      </c>
      <c r="G239" s="6" t="s">
        <v>186</v>
      </c>
      <c r="H239" s="6" t="s">
        <v>7</v>
      </c>
      <c r="I239" s="6" t="s">
        <v>825</v>
      </c>
      <c r="J239" s="6">
        <v>3</v>
      </c>
      <c r="K239" s="6" t="s">
        <v>435</v>
      </c>
      <c r="L239" s="14" t="s">
        <v>74</v>
      </c>
      <c r="N239" s="33" t="s">
        <v>181</v>
      </c>
      <c r="O239" s="33">
        <v>45875</v>
      </c>
      <c r="P239" s="33" t="s">
        <v>74</v>
      </c>
      <c r="Q239" s="12">
        <f>VLOOKUP(N239,RefData!$H$2:$I$15,2,)/100</f>
        <v>0.9</v>
      </c>
      <c r="R239" s="99" t="s">
        <v>905</v>
      </c>
      <c r="S239" s="38"/>
    </row>
    <row r="240" spans="1:30" ht="43.2" x14ac:dyDescent="0.3">
      <c r="A240" s="18" t="s">
        <v>180</v>
      </c>
      <c r="B240" s="83" t="s">
        <v>827</v>
      </c>
      <c r="C240" s="16"/>
      <c r="D240" s="25" t="s">
        <v>828</v>
      </c>
      <c r="E240" s="16" t="s">
        <v>829</v>
      </c>
      <c r="F240" s="16" t="s">
        <v>90</v>
      </c>
      <c r="G240" s="16" t="s">
        <v>88</v>
      </c>
      <c r="H240" s="16" t="s">
        <v>84</v>
      </c>
      <c r="I240" s="16" t="s">
        <v>830</v>
      </c>
      <c r="J240" s="16"/>
      <c r="K240" s="16" t="s">
        <v>435</v>
      </c>
      <c r="L240" s="20"/>
      <c r="M240" s="6"/>
      <c r="N240" s="16" t="s">
        <v>187</v>
      </c>
      <c r="O240" s="44">
        <v>46077</v>
      </c>
      <c r="P240" s="44"/>
      <c r="Q240" s="21">
        <f>VLOOKUP(N240,RefData!$H$2:$I$15,2,)/100</f>
        <v>0</v>
      </c>
      <c r="R240" s="119" t="s">
        <v>854</v>
      </c>
      <c r="S240" s="84"/>
    </row>
    <row r="241" spans="1:36" ht="72" x14ac:dyDescent="0.3">
      <c r="A241" s="71" t="s">
        <v>838</v>
      </c>
      <c r="B241" s="72" t="s">
        <v>839</v>
      </c>
      <c r="C241" s="73"/>
      <c r="D241" s="23" t="s">
        <v>840</v>
      </c>
      <c r="E241" s="6" t="s">
        <v>165</v>
      </c>
      <c r="F241" s="6" t="s">
        <v>90</v>
      </c>
      <c r="G241" s="6" t="s">
        <v>841</v>
      </c>
      <c r="H241" s="6" t="s">
        <v>7</v>
      </c>
      <c r="I241" s="6" t="s">
        <v>842</v>
      </c>
      <c r="J241" s="6"/>
      <c r="K241" s="6" t="s">
        <v>435</v>
      </c>
      <c r="L241" s="14"/>
      <c r="M241" s="6"/>
      <c r="N241" s="6" t="s">
        <v>144</v>
      </c>
      <c r="O241" s="33">
        <v>46112</v>
      </c>
      <c r="P241" s="33"/>
      <c r="Q241" s="12">
        <f>VLOOKUP(N241,RefData!$H$2:$I$15,2,)/100</f>
        <v>1</v>
      </c>
      <c r="R241" s="100"/>
      <c r="S241" s="38" t="s">
        <v>843</v>
      </c>
      <c r="T241" s="111"/>
      <c r="U241" s="112"/>
      <c r="V241" s="113"/>
      <c r="W241" s="108"/>
      <c r="X241" s="108"/>
      <c r="Y241" s="108"/>
      <c r="Z241" s="108"/>
      <c r="AA241" s="108"/>
      <c r="AB241" s="108"/>
      <c r="AC241" s="108"/>
      <c r="AD241" s="109"/>
      <c r="AE241" s="110"/>
      <c r="AF241" s="110"/>
      <c r="AG241" s="110"/>
      <c r="AH241" s="81"/>
      <c r="AI241" s="114"/>
      <c r="AJ241" s="114"/>
    </row>
    <row r="242" spans="1:36" ht="158.4" x14ac:dyDescent="0.3">
      <c r="A242" s="71" t="s">
        <v>838</v>
      </c>
      <c r="B242" s="72" t="s">
        <v>766</v>
      </c>
      <c r="C242" s="73"/>
      <c r="D242" s="23" t="s">
        <v>845</v>
      </c>
      <c r="E242" s="6" t="s">
        <v>829</v>
      </c>
      <c r="F242" s="6" t="s">
        <v>90</v>
      </c>
      <c r="G242" s="6" t="s">
        <v>186</v>
      </c>
      <c r="H242" s="6" t="s">
        <v>7</v>
      </c>
      <c r="I242" s="6" t="s">
        <v>846</v>
      </c>
      <c r="J242" s="6">
        <v>1</v>
      </c>
      <c r="K242" s="6" t="s">
        <v>435</v>
      </c>
      <c r="L242" s="14" t="s">
        <v>74</v>
      </c>
      <c r="M242" s="33"/>
      <c r="N242" s="33" t="s">
        <v>144</v>
      </c>
      <c r="O242" s="33">
        <v>46104</v>
      </c>
      <c r="P242" s="82" t="s">
        <v>74</v>
      </c>
      <c r="Q242" s="12">
        <f>VLOOKUP(N242,RefData!$H$2:$I$15,2,)/100</f>
        <v>1</v>
      </c>
      <c r="R242" s="99" t="s">
        <v>847</v>
      </c>
      <c r="S242" s="71"/>
    </row>
    <row r="243" spans="1:36" ht="40.200000000000003" customHeight="1" x14ac:dyDescent="0.3">
      <c r="A243" s="90" t="s">
        <v>79</v>
      </c>
      <c r="B243" s="91" t="s">
        <v>640</v>
      </c>
      <c r="C243" s="92"/>
      <c r="D243" s="93"/>
      <c r="E243" s="92"/>
      <c r="F243" s="92"/>
      <c r="G243" s="92"/>
      <c r="H243" s="92"/>
      <c r="I243" s="92"/>
      <c r="J243" s="92"/>
      <c r="K243" s="92"/>
      <c r="L243" s="94"/>
      <c r="M243" s="92"/>
      <c r="N243" s="92"/>
      <c r="O243" s="95"/>
      <c r="P243" s="96"/>
      <c r="Q243" s="97"/>
      <c r="S243" s="1"/>
      <c r="T243" s="111"/>
      <c r="U243" s="112"/>
      <c r="V243" s="113"/>
      <c r="W243" s="108"/>
      <c r="X243" s="108"/>
      <c r="Y243" s="108"/>
      <c r="Z243" s="108"/>
      <c r="AA243" s="108"/>
      <c r="AB243" s="108"/>
      <c r="AC243" s="108"/>
      <c r="AD243" s="109"/>
      <c r="AE243" s="110"/>
      <c r="AF243" s="110"/>
      <c r="AG243" s="87"/>
      <c r="AH243" s="81"/>
      <c r="AI243" s="114"/>
      <c r="AJ243" s="115"/>
    </row>
    <row r="244" spans="1:36" ht="15.6" x14ac:dyDescent="0.3">
      <c r="A244" s="17" t="s">
        <v>180</v>
      </c>
      <c r="B244" s="85"/>
      <c r="C244" s="6"/>
      <c r="D244" s="23" t="s">
        <v>855</v>
      </c>
      <c r="E244" s="6" t="s">
        <v>31</v>
      </c>
      <c r="F244" s="6" t="s">
        <v>90</v>
      </c>
      <c r="G244" s="6" t="s">
        <v>88</v>
      </c>
      <c r="H244" s="6" t="s">
        <v>84</v>
      </c>
      <c r="I244" s="6" t="s">
        <v>29</v>
      </c>
      <c r="J244" s="6">
        <v>1</v>
      </c>
      <c r="K244" s="6" t="s">
        <v>435</v>
      </c>
      <c r="L244" s="14">
        <v>46225</v>
      </c>
      <c r="N244" s="6" t="s">
        <v>181</v>
      </c>
      <c r="O244" s="33">
        <v>46139</v>
      </c>
      <c r="P244" s="33"/>
      <c r="Q244" s="27">
        <f>VLOOKUP(N244,RefData!$H$2:$I$15,2,)/100</f>
        <v>0.9</v>
      </c>
      <c r="R244" s="99" t="s">
        <v>881</v>
      </c>
      <c r="S244" s="77"/>
    </row>
    <row r="245" spans="1:36" ht="15.6" x14ac:dyDescent="0.3">
      <c r="A245" s="71" t="s">
        <v>79</v>
      </c>
      <c r="B245" s="72" t="s">
        <v>856</v>
      </c>
      <c r="C245" s="73"/>
      <c r="D245" s="23" t="s">
        <v>857</v>
      </c>
      <c r="E245" s="6" t="s">
        <v>233</v>
      </c>
      <c r="F245" s="6" t="s">
        <v>90</v>
      </c>
      <c r="G245" s="6" t="s">
        <v>186</v>
      </c>
      <c r="H245" s="6" t="s">
        <v>7</v>
      </c>
      <c r="I245" s="6" t="s">
        <v>169</v>
      </c>
      <c r="J245" s="6">
        <v>0</v>
      </c>
      <c r="K245" s="6" t="s">
        <v>435</v>
      </c>
      <c r="L245" s="14">
        <v>46150</v>
      </c>
      <c r="M245" s="33"/>
      <c r="N245" s="33" t="s">
        <v>144</v>
      </c>
      <c r="O245" s="33">
        <v>46146</v>
      </c>
      <c r="P245" s="33">
        <v>46150</v>
      </c>
      <c r="Q245" s="12">
        <f>VLOOKUP(N245,RefData!$H$2:$I$15,2,)/100</f>
        <v>1</v>
      </c>
      <c r="S245" s="71"/>
      <c r="T245" s="111"/>
      <c r="U245" s="112"/>
      <c r="V245" s="113"/>
      <c r="W245" s="108"/>
      <c r="X245" s="108"/>
      <c r="Y245" s="108"/>
      <c r="Z245" s="108"/>
      <c r="AA245" s="108"/>
      <c r="AB245" s="108"/>
      <c r="AC245" s="108"/>
      <c r="AD245" s="109"/>
      <c r="AE245" s="110"/>
      <c r="AF245" s="110"/>
      <c r="AG245" s="110"/>
      <c r="AH245" s="81"/>
      <c r="AI245" s="114"/>
      <c r="AJ245" s="114"/>
    </row>
    <row r="246" spans="1:36" ht="57.6" x14ac:dyDescent="0.3">
      <c r="A246" s="71" t="s">
        <v>858</v>
      </c>
      <c r="B246" s="72" t="s">
        <v>859</v>
      </c>
      <c r="C246" s="73"/>
      <c r="D246" s="23" t="s">
        <v>860</v>
      </c>
      <c r="E246" s="6" t="s">
        <v>31</v>
      </c>
      <c r="F246" s="6" t="s">
        <v>90</v>
      </c>
      <c r="G246" s="6" t="s">
        <v>186</v>
      </c>
      <c r="H246" s="6" t="s">
        <v>7</v>
      </c>
      <c r="I246" s="6" t="s">
        <v>861</v>
      </c>
      <c r="J246" s="6">
        <v>1</v>
      </c>
      <c r="K246" s="6" t="s">
        <v>435</v>
      </c>
      <c r="L246" s="14" t="s">
        <v>74</v>
      </c>
      <c r="M246" s="33"/>
      <c r="N246" s="33" t="s">
        <v>144</v>
      </c>
      <c r="O246" s="33">
        <v>46141</v>
      </c>
      <c r="P246" s="12"/>
      <c r="Q246" s="12">
        <f>VLOOKUP(N246,RefData!$H$2:$I$15,2,)/100</f>
        <v>1</v>
      </c>
      <c r="R246" s="99" t="s">
        <v>884</v>
      </c>
      <c r="S246" s="71"/>
      <c r="T246" s="111"/>
      <c r="U246" s="112"/>
      <c r="V246" s="113"/>
      <c r="W246" s="108"/>
      <c r="X246" s="108"/>
      <c r="Y246" s="108"/>
      <c r="Z246" s="108"/>
      <c r="AA246" s="108"/>
      <c r="AB246" s="108"/>
      <c r="AC246" s="108"/>
      <c r="AD246" s="109"/>
      <c r="AE246" s="110"/>
      <c r="AF246" s="110"/>
      <c r="AG246" s="110"/>
      <c r="AH246" s="81"/>
      <c r="AI246" s="114"/>
      <c r="AJ246" s="115"/>
    </row>
    <row r="247" spans="1:36" ht="57.6" x14ac:dyDescent="0.3">
      <c r="A247" s="125" t="s">
        <v>180</v>
      </c>
      <c r="B247" s="126"/>
      <c r="C247" s="127"/>
      <c r="D247" s="128" t="s">
        <v>875</v>
      </c>
      <c r="E247" s="127" t="s">
        <v>239</v>
      </c>
      <c r="F247" s="127" t="s">
        <v>90</v>
      </c>
      <c r="G247" s="127" t="s">
        <v>186</v>
      </c>
      <c r="H247" s="127" t="s">
        <v>7</v>
      </c>
      <c r="I247" s="127" t="s">
        <v>174</v>
      </c>
      <c r="J247" s="127">
        <v>0</v>
      </c>
      <c r="K247" s="127" t="s">
        <v>435</v>
      </c>
      <c r="L247" s="129">
        <v>46203</v>
      </c>
      <c r="N247" s="130" t="s">
        <v>181</v>
      </c>
      <c r="O247" s="130">
        <v>46181</v>
      </c>
      <c r="P247" s="131"/>
      <c r="Q247" s="132">
        <f>VLOOKUP(N247,RefData!$H$2:$I$15,2,)/100</f>
        <v>0.9</v>
      </c>
      <c r="R247" s="133" t="s">
        <v>904</v>
      </c>
      <c r="S247" s="134"/>
    </row>
  </sheetData>
  <autoFilter ref="A1:S247" xr:uid="{00000000-0001-0000-0000-000000000000}">
    <sortState xmlns:xlrd2="http://schemas.microsoft.com/office/spreadsheetml/2017/richdata2" ref="A2:S247">
      <sortCondition ref="C1:C247"/>
    </sortState>
  </autoFilter>
  <sortState xmlns:xlrd2="http://schemas.microsoft.com/office/spreadsheetml/2017/richdata2" ref="A2:S232">
    <sortCondition ref="A2:A232"/>
    <sortCondition ref="C2:C232"/>
  </sortState>
  <phoneticPr fontId="2" type="noConversion"/>
  <conditionalFormatting sqref="Q2:Q241 O62">
    <cfRule type="dataBar" priority="32">
      <dataBar>
        <cfvo type="num" val="0"/>
        <cfvo type="num" val="1"/>
        <color rgb="FF00B050"/>
      </dataBar>
      <extLst>
        <ext xmlns:x14="http://schemas.microsoft.com/office/spreadsheetml/2009/9/main" uri="{B025F937-C7B1-47D3-B67F-A62EFF666E3E}">
          <x14:id>{FFBF64D1-3F12-441C-8AC2-57D5416167F9}</x14:id>
        </ext>
      </extLst>
    </cfRule>
  </conditionalFormatting>
  <conditionalFormatting sqref="P224:P227">
    <cfRule type="dataBar" priority="24">
      <dataBar>
        <cfvo type="num" val="0"/>
        <cfvo type="num" val="1"/>
        <color rgb="FF00B050"/>
      </dataBar>
      <extLst>
        <ext xmlns:x14="http://schemas.microsoft.com/office/spreadsheetml/2009/9/main" uri="{B025F937-C7B1-47D3-B67F-A62EFF666E3E}">
          <x14:id>{70D1225D-01BB-48EC-A3FE-80978B4D1E9A}</x14:id>
        </ext>
      </extLst>
    </cfRule>
  </conditionalFormatting>
  <conditionalFormatting sqref="P230:P231">
    <cfRule type="dataBar" priority="18">
      <dataBar>
        <cfvo type="num" val="0"/>
        <cfvo type="num" val="1"/>
        <color rgb="FF00B050"/>
      </dataBar>
      <extLst>
        <ext xmlns:x14="http://schemas.microsoft.com/office/spreadsheetml/2009/9/main" uri="{B025F937-C7B1-47D3-B67F-A62EFF666E3E}">
          <x14:id>{2B5F9032-7889-4C6E-8089-92AD281940F8}</x14:id>
        </ext>
      </extLst>
    </cfRule>
  </conditionalFormatting>
  <conditionalFormatting sqref="P241 AH241">
    <cfRule type="dataBar" priority="7">
      <dataBar>
        <cfvo type="num" val="0"/>
        <cfvo type="num" val="1"/>
        <color rgb="FF00B050"/>
      </dataBar>
      <extLst>
        <ext xmlns:x14="http://schemas.microsoft.com/office/spreadsheetml/2009/9/main" uri="{B025F937-C7B1-47D3-B67F-A62EFF666E3E}">
          <x14:id>{12D3EFB3-EA13-481F-87CE-9A9C82624ED3}</x14:id>
        </ext>
      </extLst>
    </cfRule>
  </conditionalFormatting>
  <conditionalFormatting sqref="P246 AH246">
    <cfRule type="dataBar" priority="1">
      <dataBar>
        <cfvo type="num" val="0"/>
        <cfvo type="num" val="1"/>
        <color rgb="FF00B050"/>
      </dataBar>
      <extLst>
        <ext xmlns:x14="http://schemas.microsoft.com/office/spreadsheetml/2009/9/main" uri="{B025F937-C7B1-47D3-B67F-A62EFF666E3E}">
          <x14:id>{30E2D565-80AB-4D0E-93D5-6FE5A547AA25}</x14:id>
        </ext>
      </extLst>
    </cfRule>
  </conditionalFormatting>
  <conditionalFormatting sqref="O224">
    <cfRule type="dataBar" priority="23">
      <dataBar>
        <cfvo type="num" val="0"/>
        <cfvo type="num" val="1"/>
        <color rgb="FF00B050"/>
      </dataBar>
      <extLst>
        <ext xmlns:x14="http://schemas.microsoft.com/office/spreadsheetml/2009/9/main" uri="{B025F937-C7B1-47D3-B67F-A62EFF666E3E}">
          <x14:id>{0DDA090F-8E1E-4CCD-BD1D-2170AD863487}</x14:id>
        </ext>
      </extLst>
    </cfRule>
  </conditionalFormatting>
  <conditionalFormatting sqref="Q243:Q247 O66">
    <cfRule type="dataBar" priority="30">
      <dataBar>
        <cfvo type="num" val="0"/>
        <cfvo type="num" val="1"/>
        <color rgb="FF00B050"/>
      </dataBar>
      <extLst>
        <ext xmlns:x14="http://schemas.microsoft.com/office/spreadsheetml/2009/9/main" uri="{B025F937-C7B1-47D3-B67F-A62EFF666E3E}">
          <x14:id>{A836134F-3D4D-4DC2-8E1D-444F86BF1205}</x14:id>
        </ext>
      </extLst>
    </cfRule>
  </conditionalFormatting>
  <conditionalFormatting sqref="AD236:AD238">
    <cfRule type="dataBar" priority="9">
      <dataBar>
        <cfvo type="num" val="0"/>
        <cfvo type="num" val="1"/>
        <color rgb="FF00B050"/>
      </dataBar>
      <extLst>
        <ext xmlns:x14="http://schemas.microsoft.com/office/spreadsheetml/2009/9/main" uri="{B025F937-C7B1-47D3-B67F-A62EFF666E3E}">
          <x14:id>{E273D030-CC5B-49AA-897F-AE25CCAA9C3A}</x14:id>
        </ext>
      </extLst>
    </cfRule>
  </conditionalFormatting>
  <conditionalFormatting sqref="AG243">
    <cfRule type="dataBar" priority="5">
      <dataBar>
        <cfvo type="num" val="0"/>
        <cfvo type="num" val="1"/>
        <color rgb="FF00B050"/>
      </dataBar>
      <extLst>
        <ext xmlns:x14="http://schemas.microsoft.com/office/spreadsheetml/2009/9/main" uri="{B025F937-C7B1-47D3-B67F-A62EFF666E3E}">
          <x14:id>{64880F22-E89C-4790-ACB4-06429F228B0D}</x14:id>
        </ext>
      </extLst>
    </cfRule>
  </conditionalFormatting>
  <conditionalFormatting sqref="AH243">
    <cfRule type="dataBar" priority="6">
      <dataBar>
        <cfvo type="num" val="0"/>
        <cfvo type="num" val="1"/>
        <color rgb="FF00B050"/>
      </dataBar>
      <extLst>
        <ext xmlns:x14="http://schemas.microsoft.com/office/spreadsheetml/2009/9/main" uri="{B025F937-C7B1-47D3-B67F-A62EFF666E3E}">
          <x14:id>{4BCFF6CF-EB7C-4975-A01E-CB808B81102B}</x14:id>
        </ext>
      </extLst>
    </cfRule>
  </conditionalFormatting>
  <conditionalFormatting sqref="AH245">
    <cfRule type="dataBar" priority="2">
      <dataBar>
        <cfvo type="num" val="0"/>
        <cfvo type="num" val="1"/>
        <color rgb="FF00B050"/>
      </dataBar>
      <extLst>
        <ext xmlns:x14="http://schemas.microsoft.com/office/spreadsheetml/2009/9/main" uri="{B025F937-C7B1-47D3-B67F-A62EFF666E3E}">
          <x14:id>{9B558103-B64F-478E-9BC1-1E46D420E814}</x14:id>
        </ext>
      </extLst>
    </cfRule>
  </conditionalFormatting>
  <pageMargins left="0.7" right="0.7" top="0.75" bottom="0.75" header="0.3" footer="0.3"/>
  <pageSetup paperSize="9" orientation="portrait" r:id="rId1"/>
  <customProperties>
    <customPr name="QAA_DRILLPATH_NODE_ID" r:id="rId2"/>
  </customProperties>
  <extLst>
    <ext xmlns:x14="http://schemas.microsoft.com/office/spreadsheetml/2009/9/main" uri="{78C0D931-6437-407d-A8EE-F0AAD7539E65}">
      <x14:conditionalFormattings>
        <x14:conditionalFormatting xmlns:xm="http://schemas.microsoft.com/office/excel/2006/main">
          <x14:cfRule type="dataBar" id="{FFBF64D1-3F12-441C-8AC2-57D5416167F9}">
            <x14:dataBar minLength="0" maxLength="100" gradient="0">
              <x14:cfvo type="num">
                <xm:f>0</xm:f>
              </x14:cfvo>
              <x14:cfvo type="num">
                <xm:f>1</xm:f>
              </x14:cfvo>
              <x14:negativeFillColor rgb="FFFF0000"/>
              <x14:axisColor rgb="FF000000"/>
            </x14:dataBar>
          </x14:cfRule>
          <xm:sqref>Q2:Q241 O62</xm:sqref>
        </x14:conditionalFormatting>
        <x14:conditionalFormatting xmlns:xm="http://schemas.microsoft.com/office/excel/2006/main">
          <x14:cfRule type="dataBar" id="{70D1225D-01BB-48EC-A3FE-80978B4D1E9A}">
            <x14:dataBar minLength="0" maxLength="100" gradient="0">
              <x14:cfvo type="num">
                <xm:f>0</xm:f>
              </x14:cfvo>
              <x14:cfvo type="num">
                <xm:f>1</xm:f>
              </x14:cfvo>
              <x14:negativeFillColor rgb="FFFF0000"/>
              <x14:axisColor rgb="FF000000"/>
            </x14:dataBar>
          </x14:cfRule>
          <xm:sqref>P224:P227</xm:sqref>
        </x14:conditionalFormatting>
        <x14:conditionalFormatting xmlns:xm="http://schemas.microsoft.com/office/excel/2006/main">
          <x14:cfRule type="dataBar" id="{2B5F9032-7889-4C6E-8089-92AD281940F8}">
            <x14:dataBar minLength="0" maxLength="100" gradient="0">
              <x14:cfvo type="num">
                <xm:f>0</xm:f>
              </x14:cfvo>
              <x14:cfvo type="num">
                <xm:f>1</xm:f>
              </x14:cfvo>
              <x14:negativeFillColor rgb="FFFF0000"/>
              <x14:axisColor rgb="FF000000"/>
            </x14:dataBar>
          </x14:cfRule>
          <xm:sqref>P230:P231</xm:sqref>
        </x14:conditionalFormatting>
        <x14:conditionalFormatting xmlns:xm="http://schemas.microsoft.com/office/excel/2006/main">
          <x14:cfRule type="dataBar" id="{12D3EFB3-EA13-481F-87CE-9A9C82624ED3}">
            <x14:dataBar minLength="0" maxLength="100" gradient="0">
              <x14:cfvo type="num">
                <xm:f>0</xm:f>
              </x14:cfvo>
              <x14:cfvo type="num">
                <xm:f>1</xm:f>
              </x14:cfvo>
              <x14:negativeFillColor rgb="FFFF0000"/>
              <x14:axisColor rgb="FF000000"/>
            </x14:dataBar>
          </x14:cfRule>
          <xm:sqref>P241 AH241</xm:sqref>
        </x14:conditionalFormatting>
        <x14:conditionalFormatting xmlns:xm="http://schemas.microsoft.com/office/excel/2006/main">
          <x14:cfRule type="dataBar" id="{30E2D565-80AB-4D0E-93D5-6FE5A547AA25}">
            <x14:dataBar minLength="0" maxLength="100" gradient="0">
              <x14:cfvo type="num">
                <xm:f>0</xm:f>
              </x14:cfvo>
              <x14:cfvo type="num">
                <xm:f>1</xm:f>
              </x14:cfvo>
              <x14:negativeFillColor rgb="FFFF0000"/>
              <x14:axisColor rgb="FF000000"/>
            </x14:dataBar>
          </x14:cfRule>
          <xm:sqref>P246 AH246</xm:sqref>
        </x14:conditionalFormatting>
        <x14:conditionalFormatting xmlns:xm="http://schemas.microsoft.com/office/excel/2006/main">
          <x14:cfRule type="dataBar" id="{0DDA090F-8E1E-4CCD-BD1D-2170AD863487}">
            <x14:dataBar minLength="0" maxLength="100" gradient="0">
              <x14:cfvo type="num">
                <xm:f>0</xm:f>
              </x14:cfvo>
              <x14:cfvo type="num">
                <xm:f>1</xm:f>
              </x14:cfvo>
              <x14:negativeFillColor rgb="FFFF0000"/>
              <x14:axisColor rgb="FF000000"/>
            </x14:dataBar>
          </x14:cfRule>
          <xm:sqref>O224</xm:sqref>
        </x14:conditionalFormatting>
        <x14:conditionalFormatting xmlns:xm="http://schemas.microsoft.com/office/excel/2006/main">
          <x14:cfRule type="dataBar" id="{A836134F-3D4D-4DC2-8E1D-444F86BF1205}">
            <x14:dataBar minLength="0" maxLength="100" gradient="0">
              <x14:cfvo type="num">
                <xm:f>0</xm:f>
              </x14:cfvo>
              <x14:cfvo type="num">
                <xm:f>1</xm:f>
              </x14:cfvo>
              <x14:negativeFillColor rgb="FFFF0000"/>
              <x14:axisColor rgb="FF000000"/>
            </x14:dataBar>
          </x14:cfRule>
          <xm:sqref>Q243:Q247 O66</xm:sqref>
        </x14:conditionalFormatting>
        <x14:conditionalFormatting xmlns:xm="http://schemas.microsoft.com/office/excel/2006/main">
          <x14:cfRule type="dataBar" id="{E273D030-CC5B-49AA-897F-AE25CCAA9C3A}">
            <x14:dataBar minLength="0" maxLength="100" gradient="0">
              <x14:cfvo type="num">
                <xm:f>0</xm:f>
              </x14:cfvo>
              <x14:cfvo type="num">
                <xm:f>1</xm:f>
              </x14:cfvo>
              <x14:negativeFillColor rgb="FFFF0000"/>
              <x14:axisColor rgb="FF000000"/>
            </x14:dataBar>
          </x14:cfRule>
          <xm:sqref>AD236:AD238</xm:sqref>
        </x14:conditionalFormatting>
        <x14:conditionalFormatting xmlns:xm="http://schemas.microsoft.com/office/excel/2006/main">
          <x14:cfRule type="dataBar" id="{64880F22-E89C-4790-ACB4-06429F228B0D}">
            <x14:dataBar minLength="0" maxLength="100" gradient="0">
              <x14:cfvo type="num">
                <xm:f>0</xm:f>
              </x14:cfvo>
              <x14:cfvo type="num">
                <xm:f>1</xm:f>
              </x14:cfvo>
              <x14:negativeFillColor rgb="FFFF0000"/>
              <x14:axisColor rgb="FF000000"/>
            </x14:dataBar>
          </x14:cfRule>
          <xm:sqref>AG243</xm:sqref>
        </x14:conditionalFormatting>
        <x14:conditionalFormatting xmlns:xm="http://schemas.microsoft.com/office/excel/2006/main">
          <x14:cfRule type="dataBar" id="{4BCFF6CF-EB7C-4975-A01E-CB808B81102B}">
            <x14:dataBar minLength="0" maxLength="100" gradient="0">
              <x14:cfvo type="num">
                <xm:f>0</xm:f>
              </x14:cfvo>
              <x14:cfvo type="num">
                <xm:f>1</xm:f>
              </x14:cfvo>
              <x14:negativeFillColor rgb="FFFF0000"/>
              <x14:axisColor rgb="FF000000"/>
            </x14:dataBar>
          </x14:cfRule>
          <xm:sqref>AH243</xm:sqref>
        </x14:conditionalFormatting>
        <x14:conditionalFormatting xmlns:xm="http://schemas.microsoft.com/office/excel/2006/main">
          <x14:cfRule type="dataBar" id="{9B558103-B64F-478E-9BC1-1E46D420E814}">
            <x14:dataBar minLength="0" maxLength="100" gradient="0">
              <x14:cfvo type="num">
                <xm:f>0</xm:f>
              </x14:cfvo>
              <x14:cfvo type="num">
                <xm:f>1</xm:f>
              </x14:cfvo>
              <x14:negativeFillColor rgb="FFFF0000"/>
              <x14:axisColor rgb="FF000000"/>
            </x14:dataBar>
          </x14:cfRule>
          <xm:sqref>AH245</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368440EF-8B97-439E-8986-CD7A7A8D3308}">
          <x14:formula1>
            <xm:f>RefData!$A$2:$A$4</xm:f>
          </x14:formula1>
          <xm:sqref>A217 A222:A223 A154:A167 A234:A235 A239 A244 A2:A152</xm:sqref>
        </x14:dataValidation>
        <x14:dataValidation type="list" allowBlank="1" showInputMessage="1" showErrorMessage="1" xr:uid="{304E55C7-2473-4C52-A071-0B563F0EF3F0}">
          <x14:formula1>
            <xm:f>RefData!$B$2:$B$3</xm:f>
          </x14:formula1>
          <xm:sqref>F217 F222:F223 F233:F235 F239 F244 F2:F167</xm:sqref>
        </x14:dataValidation>
        <x14:dataValidation type="list" allowBlank="1" showInputMessage="1" showErrorMessage="1" xr:uid="{A438AAD0-5C5B-46A4-88CD-7828CDB1FE78}">
          <x14:formula1>
            <xm:f>RefData!$C$2:$C$10</xm:f>
          </x14:formula1>
          <xm:sqref>G217 G222:G223 G225 G227:G230 G233:G235 G2:G168</xm:sqref>
        </x14:dataValidation>
        <x14:dataValidation type="list" allowBlank="1" showInputMessage="1" showErrorMessage="1" xr:uid="{20E80573-84F0-47C2-B3F6-543EB8148B21}">
          <x14:formula1>
            <xm:f>RefData!$H$2:$H$17</xm:f>
          </x14:formula1>
          <xm:sqref>M230 M233:N233 N234:N241 N243:N247 N2:N232</xm:sqref>
        </x14:dataValidation>
        <x14:dataValidation type="list" allowBlank="1" showInputMessage="1" showErrorMessage="1" xr:uid="{DE1F6452-3255-4935-A9EE-968FD875C39C}">
          <x14:formula1>
            <xm:f>RefData!$A$3:$A$16</xm:f>
          </x14:formula1>
          <xm:sqref>A153 A233</xm:sqref>
        </x14:dataValidation>
        <x14:dataValidation type="list" allowBlank="1" showInputMessage="1" showErrorMessage="1" xr:uid="{D6261015-4266-4CD3-96D4-65452B674EDD}">
          <x14:formula1>
            <xm:f>RefData!$H$2:$H$15</xm:f>
          </x14:formula1>
          <xm:sqref>M2:M167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18EF-8EBB-4589-8771-5221B4830034}">
  <dimension ref="A1:B195"/>
  <sheetViews>
    <sheetView workbookViewId="0">
      <pane ySplit="1" topLeftCell="A17" activePane="bottomLeft" state="frozen"/>
      <selection pane="bottomLeft" activeCell="D35" sqref="D35"/>
    </sheetView>
  </sheetViews>
  <sheetFormatPr baseColWidth="10" defaultRowHeight="14.4" x14ac:dyDescent="0.3"/>
  <cols>
    <col min="1" max="1" width="11.44140625" style="59"/>
    <col min="2" max="2" width="11.44140625" style="57"/>
  </cols>
  <sheetData>
    <row r="1" spans="1:2" x14ac:dyDescent="0.3">
      <c r="A1" s="58" t="s">
        <v>80</v>
      </c>
      <c r="B1" s="56" t="s">
        <v>634</v>
      </c>
    </row>
    <row r="2" spans="1:2" x14ac:dyDescent="0.3">
      <c r="A2" s="59" t="s">
        <v>440</v>
      </c>
      <c r="B2" s="57">
        <v>45302</v>
      </c>
    </row>
    <row r="3" spans="1:2" x14ac:dyDescent="0.3">
      <c r="A3" s="59" t="s">
        <v>441</v>
      </c>
      <c r="B3" s="57">
        <v>45296</v>
      </c>
    </row>
    <row r="4" spans="1:2" x14ac:dyDescent="0.3">
      <c r="A4" s="59" t="s">
        <v>442</v>
      </c>
      <c r="B4" s="57">
        <v>45307</v>
      </c>
    </row>
    <row r="5" spans="1:2" x14ac:dyDescent="0.3">
      <c r="A5" s="59" t="s">
        <v>443</v>
      </c>
      <c r="B5" s="57">
        <v>45337</v>
      </c>
    </row>
    <row r="6" spans="1:2" x14ac:dyDescent="0.3">
      <c r="A6" s="59" t="s">
        <v>444</v>
      </c>
      <c r="B6" s="57">
        <v>45306</v>
      </c>
    </row>
    <row r="7" spans="1:2" x14ac:dyDescent="0.3">
      <c r="A7" s="59" t="s">
        <v>445</v>
      </c>
      <c r="B7" s="57">
        <v>45322</v>
      </c>
    </row>
    <row r="8" spans="1:2" x14ac:dyDescent="0.3">
      <c r="A8" s="59" t="s">
        <v>446</v>
      </c>
      <c r="B8" s="57">
        <v>45313</v>
      </c>
    </row>
    <row r="9" spans="1:2" x14ac:dyDescent="0.3">
      <c r="A9" s="59" t="s">
        <v>447</v>
      </c>
      <c r="B9" s="57">
        <v>45313</v>
      </c>
    </row>
    <row r="10" spans="1:2" x14ac:dyDescent="0.3">
      <c r="A10" s="59" t="s">
        <v>448</v>
      </c>
      <c r="B10" s="57">
        <v>45322</v>
      </c>
    </row>
    <row r="11" spans="1:2" x14ac:dyDescent="0.3">
      <c r="A11" s="59" t="s">
        <v>449</v>
      </c>
      <c r="B11" s="57">
        <v>45315</v>
      </c>
    </row>
    <row r="12" spans="1:2" x14ac:dyDescent="0.3">
      <c r="A12" s="59" t="s">
        <v>450</v>
      </c>
      <c r="B12" s="57">
        <v>45321</v>
      </c>
    </row>
    <row r="13" spans="1:2" x14ac:dyDescent="0.3">
      <c r="A13" s="59" t="s">
        <v>451</v>
      </c>
      <c r="B13" s="57">
        <v>45323</v>
      </c>
    </row>
    <row r="14" spans="1:2" x14ac:dyDescent="0.3">
      <c r="A14" s="59" t="s">
        <v>452</v>
      </c>
      <c r="B14" s="57">
        <v>45323</v>
      </c>
    </row>
    <row r="15" spans="1:2" x14ac:dyDescent="0.3">
      <c r="A15" s="59" t="s">
        <v>453</v>
      </c>
      <c r="B15" s="57">
        <v>45320</v>
      </c>
    </row>
    <row r="16" spans="1:2" x14ac:dyDescent="0.3">
      <c r="A16" s="59" t="s">
        <v>454</v>
      </c>
      <c r="B16" s="57">
        <v>45324</v>
      </c>
    </row>
    <row r="17" spans="1:2" x14ac:dyDescent="0.3">
      <c r="A17" s="59" t="s">
        <v>455</v>
      </c>
      <c r="B17" s="57">
        <v>45329</v>
      </c>
    </row>
    <row r="18" spans="1:2" x14ac:dyDescent="0.3">
      <c r="A18" s="59" t="s">
        <v>456</v>
      </c>
      <c r="B18" s="57">
        <v>45321</v>
      </c>
    </row>
    <row r="19" spans="1:2" x14ac:dyDescent="0.3">
      <c r="A19" s="59" t="s">
        <v>457</v>
      </c>
      <c r="B19" s="57">
        <v>45418</v>
      </c>
    </row>
    <row r="20" spans="1:2" x14ac:dyDescent="0.3">
      <c r="A20" s="59" t="s">
        <v>458</v>
      </c>
      <c r="B20" s="57">
        <v>45324</v>
      </c>
    </row>
    <row r="21" spans="1:2" x14ac:dyDescent="0.3">
      <c r="A21" s="59" t="s">
        <v>459</v>
      </c>
      <c r="B21" s="57">
        <v>45722</v>
      </c>
    </row>
    <row r="22" spans="1:2" x14ac:dyDescent="0.3">
      <c r="A22" s="59" t="s">
        <v>460</v>
      </c>
      <c r="B22" s="57">
        <v>45343</v>
      </c>
    </row>
    <row r="23" spans="1:2" x14ac:dyDescent="0.3">
      <c r="A23" s="59" t="s">
        <v>461</v>
      </c>
      <c r="B23" s="57">
        <v>45329</v>
      </c>
    </row>
    <row r="24" spans="1:2" x14ac:dyDescent="0.3">
      <c r="A24" s="59" t="s">
        <v>462</v>
      </c>
      <c r="B24" s="57">
        <v>45336</v>
      </c>
    </row>
    <row r="25" spans="1:2" x14ac:dyDescent="0.3">
      <c r="A25" s="59" t="s">
        <v>463</v>
      </c>
      <c r="B25" s="57">
        <v>45341</v>
      </c>
    </row>
    <row r="26" spans="1:2" x14ac:dyDescent="0.3">
      <c r="A26" s="59" t="s">
        <v>464</v>
      </c>
      <c r="B26" s="57">
        <v>45341</v>
      </c>
    </row>
    <row r="27" spans="1:2" x14ac:dyDescent="0.3">
      <c r="A27" s="59" t="s">
        <v>465</v>
      </c>
      <c r="B27" s="57">
        <v>45363</v>
      </c>
    </row>
    <row r="28" spans="1:2" x14ac:dyDescent="0.3">
      <c r="A28" s="59" t="s">
        <v>466</v>
      </c>
      <c r="B28" s="57">
        <v>45345</v>
      </c>
    </row>
    <row r="29" spans="1:2" x14ac:dyDescent="0.3">
      <c r="A29" s="59" t="s">
        <v>467</v>
      </c>
      <c r="B29" s="57">
        <v>45350</v>
      </c>
    </row>
    <row r="30" spans="1:2" x14ac:dyDescent="0.3">
      <c r="A30" s="59" t="s">
        <v>468</v>
      </c>
      <c r="B30" s="57">
        <v>45364</v>
      </c>
    </row>
    <row r="31" spans="1:2" x14ac:dyDescent="0.3">
      <c r="A31" s="59" t="s">
        <v>469</v>
      </c>
      <c r="B31" s="57">
        <v>45355</v>
      </c>
    </row>
    <row r="32" spans="1:2" x14ac:dyDescent="0.3">
      <c r="A32" s="59" t="s">
        <v>470</v>
      </c>
      <c r="B32" s="57">
        <v>45362</v>
      </c>
    </row>
    <row r="33" spans="1:2" x14ac:dyDescent="0.3">
      <c r="A33" s="59" t="s">
        <v>471</v>
      </c>
      <c r="B33" s="57">
        <v>45362</v>
      </c>
    </row>
    <row r="34" spans="1:2" x14ac:dyDescent="0.3">
      <c r="A34" s="59" t="s">
        <v>472</v>
      </c>
      <c r="B34" s="57">
        <v>45393</v>
      </c>
    </row>
    <row r="35" spans="1:2" x14ac:dyDescent="0.3">
      <c r="A35" s="59" t="s">
        <v>473</v>
      </c>
      <c r="B35" s="57">
        <v>45572</v>
      </c>
    </row>
    <row r="36" spans="1:2" x14ac:dyDescent="0.3">
      <c r="A36" s="59" t="s">
        <v>474</v>
      </c>
      <c r="B36" s="57">
        <v>45362</v>
      </c>
    </row>
    <row r="37" spans="1:2" x14ac:dyDescent="0.3">
      <c r="A37" s="59" t="s">
        <v>475</v>
      </c>
      <c r="B37" s="57">
        <v>45582</v>
      </c>
    </row>
    <row r="38" spans="1:2" x14ac:dyDescent="0.3">
      <c r="A38" s="59" t="s">
        <v>476</v>
      </c>
    </row>
    <row r="39" spans="1:2" x14ac:dyDescent="0.3">
      <c r="A39" s="59" t="s">
        <v>477</v>
      </c>
      <c r="B39" s="57">
        <v>45400</v>
      </c>
    </row>
    <row r="40" spans="1:2" x14ac:dyDescent="0.3">
      <c r="A40" s="59" t="s">
        <v>478</v>
      </c>
    </row>
    <row r="41" spans="1:2" x14ac:dyDescent="0.3">
      <c r="A41" s="59" t="s">
        <v>479</v>
      </c>
      <c r="B41" s="57">
        <v>45385</v>
      </c>
    </row>
    <row r="42" spans="1:2" x14ac:dyDescent="0.3">
      <c r="A42" s="59" t="s">
        <v>480</v>
      </c>
      <c r="B42" s="57">
        <v>45372</v>
      </c>
    </row>
    <row r="43" spans="1:2" x14ac:dyDescent="0.3">
      <c r="A43" s="59" t="s">
        <v>481</v>
      </c>
      <c r="B43" s="57">
        <v>45387</v>
      </c>
    </row>
    <row r="44" spans="1:2" x14ac:dyDescent="0.3">
      <c r="A44" s="59" t="s">
        <v>482</v>
      </c>
      <c r="B44" s="57">
        <v>45372</v>
      </c>
    </row>
    <row r="45" spans="1:2" x14ac:dyDescent="0.3">
      <c r="A45" s="59" t="s">
        <v>483</v>
      </c>
      <c r="B45" s="57">
        <v>45407</v>
      </c>
    </row>
    <row r="46" spans="1:2" x14ac:dyDescent="0.3">
      <c r="A46" s="59" t="s">
        <v>484</v>
      </c>
      <c r="B46" s="57">
        <v>45378</v>
      </c>
    </row>
    <row r="47" spans="1:2" x14ac:dyDescent="0.3">
      <c r="A47" s="59" t="s">
        <v>485</v>
      </c>
      <c r="B47" s="57">
        <v>45377</v>
      </c>
    </row>
    <row r="48" spans="1:2" x14ac:dyDescent="0.3">
      <c r="A48" s="59" t="s">
        <v>486</v>
      </c>
      <c r="B48" s="57">
        <v>45400</v>
      </c>
    </row>
    <row r="49" spans="1:2" x14ac:dyDescent="0.3">
      <c r="A49" s="59" t="s">
        <v>487</v>
      </c>
      <c r="B49" s="57">
        <v>45385</v>
      </c>
    </row>
    <row r="50" spans="1:2" x14ac:dyDescent="0.3">
      <c r="A50" s="59" t="s">
        <v>488</v>
      </c>
      <c r="B50" s="57">
        <v>45385</v>
      </c>
    </row>
    <row r="51" spans="1:2" x14ac:dyDescent="0.3">
      <c r="A51" s="59" t="s">
        <v>489</v>
      </c>
      <c r="B51" s="57">
        <v>45385</v>
      </c>
    </row>
    <row r="52" spans="1:2" x14ac:dyDescent="0.3">
      <c r="A52" s="59" t="s">
        <v>490</v>
      </c>
      <c r="B52" s="57">
        <v>45391</v>
      </c>
    </row>
    <row r="53" spans="1:2" x14ac:dyDescent="0.3">
      <c r="A53" s="59" t="s">
        <v>491</v>
      </c>
      <c r="B53" s="57">
        <v>45439</v>
      </c>
    </row>
    <row r="54" spans="1:2" x14ac:dyDescent="0.3">
      <c r="A54" s="59" t="s">
        <v>492</v>
      </c>
      <c r="B54" s="57">
        <v>45397</v>
      </c>
    </row>
    <row r="55" spans="1:2" x14ac:dyDescent="0.3">
      <c r="A55" s="59" t="s">
        <v>493</v>
      </c>
      <c r="B55" s="57">
        <v>45401</v>
      </c>
    </row>
    <row r="56" spans="1:2" x14ac:dyDescent="0.3">
      <c r="A56" s="59" t="s">
        <v>494</v>
      </c>
      <c r="B56" s="57">
        <v>45415</v>
      </c>
    </row>
    <row r="57" spans="1:2" x14ac:dyDescent="0.3">
      <c r="A57" s="59" t="s">
        <v>495</v>
      </c>
      <c r="B57" s="57">
        <v>45415</v>
      </c>
    </row>
    <row r="58" spans="1:2" x14ac:dyDescent="0.3">
      <c r="A58" s="59" t="s">
        <v>496</v>
      </c>
      <c r="B58" s="57">
        <v>45404</v>
      </c>
    </row>
    <row r="59" spans="1:2" x14ac:dyDescent="0.3">
      <c r="A59" s="59" t="s">
        <v>497</v>
      </c>
      <c r="B59" s="57">
        <v>45406</v>
      </c>
    </row>
    <row r="60" spans="1:2" x14ac:dyDescent="0.3">
      <c r="A60" s="59" t="s">
        <v>498</v>
      </c>
      <c r="B60" s="57">
        <v>45446</v>
      </c>
    </row>
    <row r="61" spans="1:2" x14ac:dyDescent="0.3">
      <c r="A61" s="59" t="s">
        <v>499</v>
      </c>
      <c r="B61" s="57">
        <v>45408</v>
      </c>
    </row>
    <row r="62" spans="1:2" x14ac:dyDescent="0.3">
      <c r="A62" s="59" t="s">
        <v>500</v>
      </c>
      <c r="B62" s="57">
        <v>45414</v>
      </c>
    </row>
    <row r="63" spans="1:2" x14ac:dyDescent="0.3">
      <c r="A63" s="59" t="s">
        <v>501</v>
      </c>
      <c r="B63" s="57">
        <v>45477</v>
      </c>
    </row>
    <row r="64" spans="1:2" x14ac:dyDescent="0.3">
      <c r="A64" s="59" t="s">
        <v>502</v>
      </c>
      <c r="B64" s="57">
        <v>45460</v>
      </c>
    </row>
    <row r="65" spans="1:2" x14ac:dyDescent="0.3">
      <c r="A65" s="59" t="s">
        <v>503</v>
      </c>
      <c r="B65" s="57">
        <v>45660</v>
      </c>
    </row>
    <row r="66" spans="1:2" x14ac:dyDescent="0.3">
      <c r="A66" s="59" t="s">
        <v>504</v>
      </c>
      <c r="B66" s="57">
        <v>45420</v>
      </c>
    </row>
    <row r="67" spans="1:2" x14ac:dyDescent="0.3">
      <c r="A67" s="59" t="s">
        <v>505</v>
      </c>
      <c r="B67" s="57">
        <v>45422</v>
      </c>
    </row>
    <row r="68" spans="1:2" x14ac:dyDescent="0.3">
      <c r="A68" s="59" t="s">
        <v>506</v>
      </c>
      <c r="B68" s="57">
        <v>45422</v>
      </c>
    </row>
    <row r="69" spans="1:2" x14ac:dyDescent="0.3">
      <c r="A69" s="59" t="s">
        <v>507</v>
      </c>
      <c r="B69" s="57">
        <v>45433</v>
      </c>
    </row>
    <row r="70" spans="1:2" x14ac:dyDescent="0.3">
      <c r="A70" s="59" t="s">
        <v>508</v>
      </c>
      <c r="B70" s="57">
        <v>45440</v>
      </c>
    </row>
    <row r="71" spans="1:2" x14ac:dyDescent="0.3">
      <c r="A71" s="59" t="s">
        <v>509</v>
      </c>
      <c r="B71" s="57">
        <v>45475</v>
      </c>
    </row>
    <row r="72" spans="1:2" x14ac:dyDescent="0.3">
      <c r="A72" s="59" t="s">
        <v>510</v>
      </c>
      <c r="B72" s="57">
        <v>45464</v>
      </c>
    </row>
    <row r="73" spans="1:2" x14ac:dyDescent="0.3">
      <c r="A73" s="59" t="s">
        <v>511</v>
      </c>
      <c r="B73" s="57">
        <v>45443</v>
      </c>
    </row>
    <row r="74" spans="1:2" x14ac:dyDescent="0.3">
      <c r="A74" s="59" t="s">
        <v>512</v>
      </c>
      <c r="B74" s="57">
        <v>45610</v>
      </c>
    </row>
    <row r="75" spans="1:2" x14ac:dyDescent="0.3">
      <c r="A75" s="59" t="s">
        <v>513</v>
      </c>
      <c r="B75" s="57">
        <v>45457</v>
      </c>
    </row>
    <row r="76" spans="1:2" x14ac:dyDescent="0.3">
      <c r="A76" s="59" t="s">
        <v>514</v>
      </c>
      <c r="B76" s="57">
        <v>45455</v>
      </c>
    </row>
    <row r="77" spans="1:2" x14ac:dyDescent="0.3">
      <c r="A77" s="59" t="s">
        <v>515</v>
      </c>
      <c r="B77" s="57">
        <v>45454</v>
      </c>
    </row>
    <row r="78" spans="1:2" x14ac:dyDescent="0.3">
      <c r="A78" s="59" t="s">
        <v>516</v>
      </c>
      <c r="B78" s="57">
        <v>45457</v>
      </c>
    </row>
    <row r="79" spans="1:2" x14ac:dyDescent="0.3">
      <c r="A79" s="59" t="s">
        <v>517</v>
      </c>
      <c r="B79" s="57">
        <v>45460</v>
      </c>
    </row>
    <row r="80" spans="1:2" x14ac:dyDescent="0.3">
      <c r="A80" s="59" t="s">
        <v>518</v>
      </c>
      <c r="B80" s="57">
        <v>45468</v>
      </c>
    </row>
    <row r="81" spans="1:2" x14ac:dyDescent="0.3">
      <c r="A81" s="59" t="s">
        <v>519</v>
      </c>
      <c r="B81" s="57">
        <v>45463</v>
      </c>
    </row>
    <row r="82" spans="1:2" x14ac:dyDescent="0.3">
      <c r="A82" s="59" t="s">
        <v>520</v>
      </c>
      <c r="B82" s="57">
        <v>45463</v>
      </c>
    </row>
    <row r="83" spans="1:2" x14ac:dyDescent="0.3">
      <c r="A83" s="59" t="s">
        <v>521</v>
      </c>
      <c r="B83" s="57">
        <v>45463</v>
      </c>
    </row>
    <row r="84" spans="1:2" x14ac:dyDescent="0.3">
      <c r="A84" s="59" t="s">
        <v>522</v>
      </c>
      <c r="B84" s="57">
        <v>45514</v>
      </c>
    </row>
    <row r="85" spans="1:2" x14ac:dyDescent="0.3">
      <c r="A85" s="59" t="s">
        <v>523</v>
      </c>
      <c r="B85" s="57">
        <v>45477</v>
      </c>
    </row>
    <row r="86" spans="1:2" x14ac:dyDescent="0.3">
      <c r="A86" s="59" t="s">
        <v>524</v>
      </c>
      <c r="B86" s="57">
        <v>45545</v>
      </c>
    </row>
    <row r="87" spans="1:2" x14ac:dyDescent="0.3">
      <c r="A87" s="59" t="s">
        <v>525</v>
      </c>
      <c r="B87" s="57">
        <v>45490</v>
      </c>
    </row>
    <row r="88" spans="1:2" x14ac:dyDescent="0.3">
      <c r="A88" s="59" t="s">
        <v>526</v>
      </c>
      <c r="B88" s="57">
        <v>45483</v>
      </c>
    </row>
    <row r="89" spans="1:2" x14ac:dyDescent="0.3">
      <c r="A89" s="59" t="s">
        <v>527</v>
      </c>
      <c r="B89" s="57">
        <v>45531</v>
      </c>
    </row>
    <row r="90" spans="1:2" x14ac:dyDescent="0.3">
      <c r="A90" s="59" t="s">
        <v>528</v>
      </c>
    </row>
    <row r="91" spans="1:2" x14ac:dyDescent="0.3">
      <c r="A91" s="59" t="s">
        <v>529</v>
      </c>
      <c r="B91" s="57">
        <v>45484</v>
      </c>
    </row>
    <row r="92" spans="1:2" x14ac:dyDescent="0.3">
      <c r="A92" s="59" t="s">
        <v>530</v>
      </c>
      <c r="B92" s="57">
        <v>45485</v>
      </c>
    </row>
    <row r="93" spans="1:2" x14ac:dyDescent="0.3">
      <c r="A93" s="59" t="s">
        <v>531</v>
      </c>
      <c r="B93" s="57">
        <v>45489</v>
      </c>
    </row>
    <row r="94" spans="1:2" x14ac:dyDescent="0.3">
      <c r="A94" s="59" t="s">
        <v>532</v>
      </c>
      <c r="B94" s="57">
        <v>45491</v>
      </c>
    </row>
    <row r="95" spans="1:2" x14ac:dyDescent="0.3">
      <c r="A95" s="59" t="s">
        <v>533</v>
      </c>
      <c r="B95" s="57">
        <v>45496</v>
      </c>
    </row>
    <row r="96" spans="1:2" x14ac:dyDescent="0.3">
      <c r="A96" s="59" t="s">
        <v>534</v>
      </c>
      <c r="B96" s="57">
        <v>45503</v>
      </c>
    </row>
    <row r="97" spans="1:2" x14ac:dyDescent="0.3">
      <c r="A97" s="59" t="s">
        <v>535</v>
      </c>
      <c r="B97" s="57">
        <v>45495</v>
      </c>
    </row>
    <row r="98" spans="1:2" x14ac:dyDescent="0.3">
      <c r="A98" s="59" t="s">
        <v>536</v>
      </c>
      <c r="B98" s="57">
        <v>45496</v>
      </c>
    </row>
    <row r="99" spans="1:2" x14ac:dyDescent="0.3">
      <c r="A99" s="59" t="s">
        <v>537</v>
      </c>
      <c r="B99" s="57">
        <v>45498</v>
      </c>
    </row>
    <row r="100" spans="1:2" x14ac:dyDescent="0.3">
      <c r="A100" s="59" t="s">
        <v>538</v>
      </c>
      <c r="B100" s="57">
        <v>45505</v>
      </c>
    </row>
    <row r="101" spans="1:2" x14ac:dyDescent="0.3">
      <c r="A101" s="59" t="s">
        <v>539</v>
      </c>
      <c r="B101" s="57">
        <v>45505</v>
      </c>
    </row>
    <row r="102" spans="1:2" x14ac:dyDescent="0.3">
      <c r="A102" s="59" t="s">
        <v>540</v>
      </c>
      <c r="B102" s="57">
        <v>45509</v>
      </c>
    </row>
    <row r="103" spans="1:2" x14ac:dyDescent="0.3">
      <c r="A103" s="59" t="s">
        <v>541</v>
      </c>
      <c r="B103" s="57">
        <v>45510</v>
      </c>
    </row>
    <row r="104" spans="1:2" x14ac:dyDescent="0.3">
      <c r="A104" s="59" t="s">
        <v>542</v>
      </c>
      <c r="B104" s="57">
        <v>45514</v>
      </c>
    </row>
    <row r="105" spans="1:2" x14ac:dyDescent="0.3">
      <c r="A105" s="59" t="s">
        <v>543</v>
      </c>
      <c r="B105" s="57">
        <v>45514</v>
      </c>
    </row>
    <row r="106" spans="1:2" x14ac:dyDescent="0.3">
      <c r="A106" s="59" t="s">
        <v>544</v>
      </c>
      <c r="B106" s="57">
        <v>45526</v>
      </c>
    </row>
    <row r="107" spans="1:2" x14ac:dyDescent="0.3">
      <c r="A107" s="59" t="s">
        <v>545</v>
      </c>
      <c r="B107" s="57">
        <v>45576</v>
      </c>
    </row>
    <row r="108" spans="1:2" x14ac:dyDescent="0.3">
      <c r="A108" s="59" t="s">
        <v>546</v>
      </c>
      <c r="B108" s="57">
        <v>45534</v>
      </c>
    </row>
    <row r="109" spans="1:2" x14ac:dyDescent="0.3">
      <c r="A109" s="59" t="s">
        <v>547</v>
      </c>
      <c r="B109" s="57">
        <v>45531</v>
      </c>
    </row>
    <row r="110" spans="1:2" x14ac:dyDescent="0.3">
      <c r="A110" s="59" t="s">
        <v>548</v>
      </c>
      <c r="B110" s="57">
        <v>45531</v>
      </c>
    </row>
    <row r="111" spans="1:2" x14ac:dyDescent="0.3">
      <c r="A111" s="59" t="s">
        <v>549</v>
      </c>
      <c r="B111" s="57">
        <v>45538</v>
      </c>
    </row>
    <row r="112" spans="1:2" x14ac:dyDescent="0.3">
      <c r="A112" s="59" t="s">
        <v>550</v>
      </c>
      <c r="B112" s="57">
        <v>45531</v>
      </c>
    </row>
    <row r="113" spans="1:2" x14ac:dyDescent="0.3">
      <c r="A113" s="59" t="s">
        <v>551</v>
      </c>
      <c r="B113" s="57">
        <v>45534</v>
      </c>
    </row>
    <row r="114" spans="1:2" x14ac:dyDescent="0.3">
      <c r="A114" s="59" t="s">
        <v>552</v>
      </c>
      <c r="B114" s="57">
        <v>45534</v>
      </c>
    </row>
    <row r="115" spans="1:2" x14ac:dyDescent="0.3">
      <c r="A115" s="59" t="s">
        <v>553</v>
      </c>
      <c r="B115" s="57">
        <v>45538</v>
      </c>
    </row>
    <row r="116" spans="1:2" x14ac:dyDescent="0.3">
      <c r="A116" s="59" t="s">
        <v>554</v>
      </c>
      <c r="B116" s="57">
        <v>45558</v>
      </c>
    </row>
    <row r="117" spans="1:2" x14ac:dyDescent="0.3">
      <c r="A117" s="59" t="s">
        <v>555</v>
      </c>
      <c r="B117" s="57">
        <v>45538</v>
      </c>
    </row>
    <row r="118" spans="1:2" x14ac:dyDescent="0.3">
      <c r="A118" s="59" t="s">
        <v>556</v>
      </c>
      <c r="B118" s="57">
        <v>45558</v>
      </c>
    </row>
    <row r="119" spans="1:2" x14ac:dyDescent="0.3">
      <c r="A119" s="59" t="s">
        <v>557</v>
      </c>
      <c r="B119" s="57">
        <v>45551</v>
      </c>
    </row>
    <row r="120" spans="1:2" x14ac:dyDescent="0.3">
      <c r="A120" s="59" t="s">
        <v>558</v>
      </c>
      <c r="B120" s="57">
        <v>45552</v>
      </c>
    </row>
    <row r="121" spans="1:2" x14ac:dyDescent="0.3">
      <c r="A121" s="59" t="s">
        <v>559</v>
      </c>
      <c r="B121" s="57">
        <v>45552</v>
      </c>
    </row>
    <row r="122" spans="1:2" x14ac:dyDescent="0.3">
      <c r="A122" s="59" t="s">
        <v>560</v>
      </c>
      <c r="B122" s="57">
        <v>45553</v>
      </c>
    </row>
    <row r="123" spans="1:2" x14ac:dyDescent="0.3">
      <c r="A123" s="59" t="s">
        <v>561</v>
      </c>
      <c r="B123" s="57">
        <v>45553</v>
      </c>
    </row>
    <row r="124" spans="1:2" x14ac:dyDescent="0.3">
      <c r="A124" s="59" t="s">
        <v>562</v>
      </c>
      <c r="B124" s="57">
        <v>45554</v>
      </c>
    </row>
    <row r="125" spans="1:2" x14ac:dyDescent="0.3">
      <c r="A125" s="59" t="s">
        <v>563</v>
      </c>
      <c r="B125" s="57">
        <v>45555</v>
      </c>
    </row>
    <row r="126" spans="1:2" x14ac:dyDescent="0.3">
      <c r="A126" s="59" t="s">
        <v>564</v>
      </c>
      <c r="B126" s="57">
        <v>45558</v>
      </c>
    </row>
    <row r="127" spans="1:2" x14ac:dyDescent="0.3">
      <c r="A127" s="59" t="s">
        <v>565</v>
      </c>
      <c r="B127" s="57">
        <v>45594</v>
      </c>
    </row>
    <row r="128" spans="1:2" x14ac:dyDescent="0.3">
      <c r="A128" s="59" t="s">
        <v>566</v>
      </c>
    </row>
    <row r="129" spans="1:2" x14ac:dyDescent="0.3">
      <c r="A129" s="59" t="s">
        <v>567</v>
      </c>
      <c r="B129" s="57">
        <v>45566</v>
      </c>
    </row>
    <row r="130" spans="1:2" x14ac:dyDescent="0.3">
      <c r="A130" s="59" t="s">
        <v>568</v>
      </c>
      <c r="B130" s="57">
        <v>45579</v>
      </c>
    </row>
    <row r="131" spans="1:2" x14ac:dyDescent="0.3">
      <c r="A131" s="59" t="s">
        <v>569</v>
      </c>
      <c r="B131" s="57">
        <v>45561</v>
      </c>
    </row>
    <row r="132" spans="1:2" x14ac:dyDescent="0.3">
      <c r="A132" s="59" t="s">
        <v>570</v>
      </c>
      <c r="B132" s="57">
        <v>45572</v>
      </c>
    </row>
    <row r="133" spans="1:2" x14ac:dyDescent="0.3">
      <c r="A133" s="59" t="s">
        <v>571</v>
      </c>
      <c r="B133" s="57">
        <v>45567</v>
      </c>
    </row>
    <row r="134" spans="1:2" x14ac:dyDescent="0.3">
      <c r="A134" s="59" t="s">
        <v>572</v>
      </c>
      <c r="B134" s="57">
        <v>45568</v>
      </c>
    </row>
    <row r="135" spans="1:2" x14ac:dyDescent="0.3">
      <c r="A135" s="59" t="s">
        <v>573</v>
      </c>
      <c r="B135" s="57">
        <v>45595</v>
      </c>
    </row>
    <row r="136" spans="1:2" x14ac:dyDescent="0.3">
      <c r="A136" s="59" t="s">
        <v>574</v>
      </c>
      <c r="B136" s="57">
        <v>45579</v>
      </c>
    </row>
    <row r="137" spans="1:2" x14ac:dyDescent="0.3">
      <c r="A137" s="59" t="s">
        <v>575</v>
      </c>
      <c r="B137" s="57">
        <v>45610</v>
      </c>
    </row>
    <row r="138" spans="1:2" x14ac:dyDescent="0.3">
      <c r="A138" s="59" t="s">
        <v>576</v>
      </c>
      <c r="B138" s="57">
        <v>45708</v>
      </c>
    </row>
    <row r="139" spans="1:2" x14ac:dyDescent="0.3">
      <c r="A139" s="59" t="s">
        <v>577</v>
      </c>
      <c r="B139" s="57">
        <v>45610</v>
      </c>
    </row>
    <row r="140" spans="1:2" x14ac:dyDescent="0.3">
      <c r="A140" s="59" t="s">
        <v>578</v>
      </c>
      <c r="B140" s="57">
        <v>45610</v>
      </c>
    </row>
    <row r="141" spans="1:2" x14ac:dyDescent="0.3">
      <c r="A141" s="59" t="s">
        <v>579</v>
      </c>
      <c r="B141" s="57">
        <v>45594</v>
      </c>
    </row>
    <row r="142" spans="1:2" x14ac:dyDescent="0.3">
      <c r="A142" s="59" t="s">
        <v>580</v>
      </c>
      <c r="B142" s="57">
        <v>45595</v>
      </c>
    </row>
    <row r="143" spans="1:2" x14ac:dyDescent="0.3">
      <c r="A143" s="59" t="s">
        <v>581</v>
      </c>
    </row>
    <row r="144" spans="1:2" x14ac:dyDescent="0.3">
      <c r="A144" s="59" t="s">
        <v>582</v>
      </c>
      <c r="B144" s="57">
        <v>45629</v>
      </c>
    </row>
    <row r="145" spans="1:2" x14ac:dyDescent="0.3">
      <c r="A145" s="59" t="s">
        <v>583</v>
      </c>
      <c r="B145" s="57">
        <v>45611</v>
      </c>
    </row>
    <row r="146" spans="1:2" x14ac:dyDescent="0.3">
      <c r="A146" s="59" t="s">
        <v>584</v>
      </c>
      <c r="B146" s="57">
        <v>45615</v>
      </c>
    </row>
    <row r="147" spans="1:2" x14ac:dyDescent="0.3">
      <c r="A147" s="59" t="s">
        <v>585</v>
      </c>
      <c r="B147" s="57">
        <v>45614</v>
      </c>
    </row>
    <row r="148" spans="1:2" x14ac:dyDescent="0.3">
      <c r="A148" s="59" t="s">
        <v>586</v>
      </c>
      <c r="B148" s="57">
        <v>45663</v>
      </c>
    </row>
    <row r="149" spans="1:2" x14ac:dyDescent="0.3">
      <c r="A149" s="59" t="s">
        <v>587</v>
      </c>
      <c r="B149" s="57">
        <v>45617</v>
      </c>
    </row>
    <row r="150" spans="1:2" x14ac:dyDescent="0.3">
      <c r="A150" s="59" t="s">
        <v>588</v>
      </c>
      <c r="B150" s="57">
        <v>45708</v>
      </c>
    </row>
    <row r="151" spans="1:2" x14ac:dyDescent="0.3">
      <c r="A151" s="59" t="s">
        <v>589</v>
      </c>
      <c r="B151" s="57">
        <v>45635</v>
      </c>
    </row>
    <row r="152" spans="1:2" x14ac:dyDescent="0.3">
      <c r="A152" s="59" t="s">
        <v>590</v>
      </c>
      <c r="B152" s="57">
        <v>45625</v>
      </c>
    </row>
    <row r="153" spans="1:2" x14ac:dyDescent="0.3">
      <c r="A153" s="59" t="s">
        <v>591</v>
      </c>
      <c r="B153" s="57">
        <v>45629</v>
      </c>
    </row>
    <row r="154" spans="1:2" x14ac:dyDescent="0.3">
      <c r="A154" s="59" t="s">
        <v>592</v>
      </c>
      <c r="B154" s="57">
        <v>45635</v>
      </c>
    </row>
    <row r="155" spans="1:2" x14ac:dyDescent="0.3">
      <c r="A155" s="59" t="s">
        <v>593</v>
      </c>
      <c r="B155" s="57">
        <v>45638</v>
      </c>
    </row>
    <row r="156" spans="1:2" x14ac:dyDescent="0.3">
      <c r="A156" s="59" t="s">
        <v>594</v>
      </c>
      <c r="B156" s="57">
        <v>45665</v>
      </c>
    </row>
    <row r="157" spans="1:2" x14ac:dyDescent="0.3">
      <c r="A157" s="59" t="s">
        <v>595</v>
      </c>
      <c r="B157" s="57">
        <v>45643</v>
      </c>
    </row>
    <row r="158" spans="1:2" x14ac:dyDescent="0.3">
      <c r="A158" s="59" t="s">
        <v>596</v>
      </c>
      <c r="B158" s="57">
        <v>45660</v>
      </c>
    </row>
    <row r="159" spans="1:2" x14ac:dyDescent="0.3">
      <c r="A159" s="59" t="s">
        <v>597</v>
      </c>
      <c r="B159" s="57">
        <v>45646</v>
      </c>
    </row>
    <row r="160" spans="1:2" x14ac:dyDescent="0.3">
      <c r="A160" s="59" t="s">
        <v>598</v>
      </c>
      <c r="B160" s="57">
        <v>45646</v>
      </c>
    </row>
    <row r="161" spans="1:2" x14ac:dyDescent="0.3">
      <c r="A161" s="59" t="s">
        <v>599</v>
      </c>
      <c r="B161" s="57">
        <v>45671</v>
      </c>
    </row>
    <row r="162" spans="1:2" x14ac:dyDescent="0.3">
      <c r="A162" s="59" t="s">
        <v>600</v>
      </c>
      <c r="B162" s="57">
        <v>45660</v>
      </c>
    </row>
    <row r="163" spans="1:2" x14ac:dyDescent="0.3">
      <c r="A163" s="59" t="s">
        <v>601</v>
      </c>
      <c r="B163" s="57">
        <v>45666</v>
      </c>
    </row>
    <row r="164" spans="1:2" x14ac:dyDescent="0.3">
      <c r="A164" s="59" t="s">
        <v>602</v>
      </c>
      <c r="B164" s="57">
        <v>45663</v>
      </c>
    </row>
    <row r="165" spans="1:2" x14ac:dyDescent="0.3">
      <c r="A165" s="59" t="s">
        <v>603</v>
      </c>
      <c r="B165" s="57">
        <v>45667</v>
      </c>
    </row>
    <row r="166" spans="1:2" x14ac:dyDescent="0.3">
      <c r="A166" s="59" t="s">
        <v>604</v>
      </c>
      <c r="B166" s="57">
        <v>45664</v>
      </c>
    </row>
    <row r="167" spans="1:2" x14ac:dyDescent="0.3">
      <c r="A167" s="59" t="s">
        <v>605</v>
      </c>
      <c r="B167" s="57">
        <v>45664</v>
      </c>
    </row>
    <row r="168" spans="1:2" x14ac:dyDescent="0.3">
      <c r="A168" s="59" t="s">
        <v>606</v>
      </c>
      <c r="B168" s="57">
        <v>45667</v>
      </c>
    </row>
    <row r="169" spans="1:2" x14ac:dyDescent="0.3">
      <c r="A169" s="59" t="s">
        <v>607</v>
      </c>
      <c r="B169" s="57">
        <v>45670</v>
      </c>
    </row>
    <row r="170" spans="1:2" x14ac:dyDescent="0.3">
      <c r="A170" s="59" t="s">
        <v>608</v>
      </c>
      <c r="B170" s="57">
        <v>45705</v>
      </c>
    </row>
    <row r="171" spans="1:2" x14ac:dyDescent="0.3">
      <c r="A171" s="59" t="s">
        <v>609</v>
      </c>
      <c r="B171" s="57">
        <v>45670</v>
      </c>
    </row>
    <row r="172" spans="1:2" x14ac:dyDescent="0.3">
      <c r="A172" s="59" t="s">
        <v>610</v>
      </c>
      <c r="B172" s="57">
        <v>45671</v>
      </c>
    </row>
    <row r="173" spans="1:2" x14ac:dyDescent="0.3">
      <c r="A173" s="59" t="s">
        <v>611</v>
      </c>
      <c r="B173" s="57">
        <v>45708</v>
      </c>
    </row>
    <row r="174" spans="1:2" x14ac:dyDescent="0.3">
      <c r="A174" s="59" t="s">
        <v>612</v>
      </c>
      <c r="B174" s="57">
        <v>45673</v>
      </c>
    </row>
    <row r="175" spans="1:2" x14ac:dyDescent="0.3">
      <c r="A175" s="59" t="s">
        <v>613</v>
      </c>
      <c r="B175" s="57">
        <v>45685</v>
      </c>
    </row>
    <row r="176" spans="1:2" x14ac:dyDescent="0.3">
      <c r="A176" s="59" t="s">
        <v>614</v>
      </c>
      <c r="B176" s="57">
        <v>45677</v>
      </c>
    </row>
    <row r="177" spans="1:2" x14ac:dyDescent="0.3">
      <c r="A177" s="59" t="s">
        <v>615</v>
      </c>
      <c r="B177" s="57">
        <v>45705</v>
      </c>
    </row>
    <row r="178" spans="1:2" x14ac:dyDescent="0.3">
      <c r="A178" s="59" t="s">
        <v>616</v>
      </c>
      <c r="B178" s="57">
        <v>45705</v>
      </c>
    </row>
    <row r="179" spans="1:2" x14ac:dyDescent="0.3">
      <c r="A179" s="59" t="s">
        <v>617</v>
      </c>
      <c r="B179" s="57">
        <v>45694</v>
      </c>
    </row>
    <row r="180" spans="1:2" x14ac:dyDescent="0.3">
      <c r="A180" s="59" t="s">
        <v>618</v>
      </c>
      <c r="B180" s="57">
        <v>45698</v>
      </c>
    </row>
    <row r="181" spans="1:2" x14ac:dyDescent="0.3">
      <c r="A181" s="59" t="s">
        <v>619</v>
      </c>
      <c r="B181" s="57">
        <v>45707</v>
      </c>
    </row>
    <row r="182" spans="1:2" x14ac:dyDescent="0.3">
      <c r="A182" s="59" t="s">
        <v>620</v>
      </c>
      <c r="B182" s="57">
        <v>45709</v>
      </c>
    </row>
    <row r="183" spans="1:2" x14ac:dyDescent="0.3">
      <c r="A183" s="59" t="s">
        <v>621</v>
      </c>
      <c r="B183" s="57">
        <v>45723</v>
      </c>
    </row>
    <row r="184" spans="1:2" x14ac:dyDescent="0.3">
      <c r="A184" s="59" t="s">
        <v>622</v>
      </c>
    </row>
    <row r="185" spans="1:2" x14ac:dyDescent="0.3">
      <c r="A185" s="59" t="s">
        <v>623</v>
      </c>
      <c r="B185" s="57">
        <v>45726</v>
      </c>
    </row>
    <row r="186" spans="1:2" x14ac:dyDescent="0.3">
      <c r="A186" s="59" t="s">
        <v>624</v>
      </c>
      <c r="B186" s="57">
        <v>45737</v>
      </c>
    </row>
    <row r="187" spans="1:2" x14ac:dyDescent="0.3">
      <c r="A187" s="59" t="s">
        <v>625</v>
      </c>
      <c r="B187" s="57">
        <v>45734</v>
      </c>
    </row>
    <row r="188" spans="1:2" x14ac:dyDescent="0.3">
      <c r="A188" s="59" t="s">
        <v>626</v>
      </c>
    </row>
    <row r="189" spans="1:2" x14ac:dyDescent="0.3">
      <c r="A189" s="59" t="s">
        <v>627</v>
      </c>
      <c r="B189" s="57">
        <v>45733</v>
      </c>
    </row>
    <row r="190" spans="1:2" x14ac:dyDescent="0.3">
      <c r="A190" s="59" t="s">
        <v>628</v>
      </c>
      <c r="B190" s="57">
        <v>45740</v>
      </c>
    </row>
    <row r="191" spans="1:2" x14ac:dyDescent="0.3">
      <c r="A191" s="59" t="s">
        <v>629</v>
      </c>
      <c r="B191" s="57">
        <v>45741</v>
      </c>
    </row>
    <row r="192" spans="1:2" x14ac:dyDescent="0.3">
      <c r="A192" s="59" t="s">
        <v>630</v>
      </c>
      <c r="B192" s="57">
        <v>45737</v>
      </c>
    </row>
    <row r="193" spans="1:1" x14ac:dyDescent="0.3">
      <c r="A193" s="59" t="s">
        <v>631</v>
      </c>
    </row>
    <row r="194" spans="1:1" x14ac:dyDescent="0.3">
      <c r="A194" s="59" t="s">
        <v>632</v>
      </c>
    </row>
    <row r="195" spans="1:1" x14ac:dyDescent="0.3">
      <c r="A195" s="59" t="s">
        <v>633</v>
      </c>
    </row>
  </sheetData>
  <autoFilter ref="A1:B195" xr:uid="{89F018EF-8EBB-4589-8771-5221B4830034}"/>
  <pageMargins left="0.7" right="0.7" top="0.75" bottom="0.75" header="0.3" footer="0.3"/>
  <pageSetup paperSize="9" orientation="portrait" r:id="rId1"/>
  <customProperties>
    <customPr name="QAA_DRILLPATH_NODE_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7</vt:i4>
      </vt:variant>
    </vt:vector>
  </HeadingPairs>
  <TitlesOfParts>
    <vt:vector size="11" baseType="lpstr">
      <vt:lpstr>RefData</vt:lpstr>
      <vt:lpstr>TDC</vt:lpstr>
      <vt:lpstr>Projets</vt:lpstr>
      <vt:lpstr>Tkt</vt:lpstr>
      <vt:lpstr>Dept</vt:lpstr>
      <vt:lpstr>Owner_IT</vt:lpstr>
      <vt:lpstr>Plateforme</vt:lpstr>
      <vt:lpstr>Priorité</vt:lpstr>
      <vt:lpstr>TabStatus</vt:lpstr>
      <vt:lpstr>Type_Projet</vt:lpstr>
      <vt:lpstr>Unité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GUILLO</dc:creator>
  <cp:lastModifiedBy>Jeanne RAZAFIMAHATRATRA</cp:lastModifiedBy>
  <dcterms:created xsi:type="dcterms:W3CDTF">2022-02-23T07:06:20Z</dcterms:created>
  <dcterms:modified xsi:type="dcterms:W3CDTF">2026-07-23T12:28:08Z</dcterms:modified>
</cp:coreProperties>
</file>